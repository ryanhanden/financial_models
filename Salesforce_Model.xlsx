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cal Actuals" sheetId="2" state="visible" r:id="rId4"/>
    <sheet name="Inputs" sheetId="3" state="visible" r:id="rId5"/>
    <sheet name="Operating Model" sheetId="4" state="visible" r:id="rId6"/>
    <sheet name="DCF" sheetId="5" state="visible" r:id="rId7"/>
    <sheet name="QA Checks" sheetId="6" state="visible" r:id="rId8"/>
    <sheet name="Sources" sheetId="7" state="visible" r:id="rId9"/>
  </sheets>
  <definedNames>
    <definedName function="false" hidden="false" localSheetId="0" name="_xlnm.Print_Area" vbProcedure="false">Cover!$A$1:$B$15</definedName>
    <definedName function="false" hidden="false" localSheetId="4" name="_xlnm.Print_Area" vbProcedure="false">DCF!$A$1:$F$27</definedName>
    <definedName function="false" hidden="false" localSheetId="1" name="_xlnm.Print_Area" vbProcedure="false">'Historical Actuals'!$A$1:$E$69</definedName>
    <definedName function="false" hidden="false" localSheetId="2" name="_xlnm.Print_Area" vbProcedure="false">Inputs!$A$1:$G$18</definedName>
    <definedName function="false" hidden="false" localSheetId="3" name="_xlnm.Print_Area" vbProcedure="false">'Operating Model'!$A$1:$I$36</definedName>
    <definedName function="false" hidden="false" localSheetId="5" name="_xlnm.Print_Area" vbProcedure="false">'QA Checks'!$A$1:$E$11</definedName>
    <definedName function="false" hidden="false" localSheetId="6" name="_xlnm.Print_Area" vbProcedure="false">Sources!$A$1:$D$4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<sst xmlns="http://schemas.openxmlformats.org/spreadsheetml/2006/main" count="293" uniqueCount="178">
  <si>
    <t xml:space="preserve">Salesforce, Inc. (CRM) — Banker-Style EDGAR-Tied 3-Statement + DCF Model</t>
  </si>
  <si>
    <t xml:space="preserve">Company</t>
  </si>
  <si>
    <t xml:space="preserve">Salesforce, Inc.</t>
  </si>
  <si>
    <t xml:space="preserve">Ticker</t>
  </si>
  <si>
    <t xml:space="preserve">CRM</t>
  </si>
  <si>
    <t xml:space="preserve">Fiscal Year End</t>
  </si>
  <si>
    <t xml:space="preserve">January 31</t>
  </si>
  <si>
    <t xml:space="preserve">Units</t>
  </si>
  <si>
    <t xml:space="preserve">$ in millions, except per-share data</t>
  </si>
  <si>
    <t xml:space="preserve">Historical Source</t>
  </si>
  <si>
    <t xml:space="preserve">FY2026 Form 10-K filed March 2, 2026; FY2025 Form 10-K for FY2024 balance sheet</t>
  </si>
  <si>
    <t xml:space="preserve">Model Standard</t>
  </si>
  <si>
    <t xml:space="preserve">Historical actuals hardcoded from EDGAR; forecasts formula-driven assumptions</t>
  </si>
  <si>
    <t xml:space="preserve">Color Convention</t>
  </si>
  <si>
    <t xml:space="preserve">Blue = historical hardcodes / user assumptions; Black = formulas; Green = workbook links</t>
  </si>
  <si>
    <t xml:space="preserve">Forecast Period</t>
  </si>
  <si>
    <t xml:space="preserve">FY2027E–FY2031E</t>
  </si>
  <si>
    <t xml:space="preserve">Last Updated</t>
  </si>
  <si>
    <t xml:space="preserve">2026-06-24</t>
  </si>
  <si>
    <t xml:space="preserve">Prepared For</t>
  </si>
  <si>
    <t xml:space="preserve">Ryan Anden financial modeling portfolio</t>
  </si>
  <si>
    <t xml:space="preserve">Fix status</t>
  </si>
  <si>
    <t xml:space="preserve">Formula scan</t>
  </si>
  <si>
    <t xml:space="preserve">No formula-error strings found after patch.</t>
  </si>
  <si>
    <t xml:space="preserve">Historical Actuals — Salesforce, Inc. ($mm except per-share data)</t>
  </si>
  <si>
    <t xml:space="preserve">Line Item</t>
  </si>
  <si>
    <t xml:space="preserve">FY2024A</t>
  </si>
  <si>
    <t xml:space="preserve">FY2025A</t>
  </si>
  <si>
    <t xml:space="preserve">FY2026A</t>
  </si>
  <si>
    <t xml:space="preserve">Source</t>
  </si>
  <si>
    <t xml:space="preserve">Income Statement</t>
  </si>
  <si>
    <t xml:space="preserve">Subscription and support revenue</t>
  </si>
  <si>
    <t xml:space="preserve">CRM FY2026 10-K</t>
  </si>
  <si>
    <t xml:space="preserve">Professional services and other revenue</t>
  </si>
  <si>
    <t xml:space="preserve">Total revenue</t>
  </si>
  <si>
    <t xml:space="preserve">Subscription and support cost of revenue</t>
  </si>
  <si>
    <t xml:space="preserve">Professional services and other cost of revenue</t>
  </si>
  <si>
    <t xml:space="preserve">Total cost of revenue</t>
  </si>
  <si>
    <t xml:space="preserve">Gross profit</t>
  </si>
  <si>
    <t xml:space="preserve">Research and development</t>
  </si>
  <si>
    <t xml:space="preserve">Sales and marketing</t>
  </si>
  <si>
    <t xml:space="preserve">General and administrative</t>
  </si>
  <si>
    <t xml:space="preserve">Restructuring</t>
  </si>
  <si>
    <t xml:space="preserve">Total operating expenses</t>
  </si>
  <si>
    <t xml:space="preserve">Income from operations</t>
  </si>
  <si>
    <t xml:space="preserve">Gains (losses) on strategic investments, net</t>
  </si>
  <si>
    <t xml:space="preserve">Other income</t>
  </si>
  <si>
    <t xml:space="preserve">Income before income taxes</t>
  </si>
  <si>
    <t xml:space="preserve">Provision for income taxes</t>
  </si>
  <si>
    <t xml:space="preserve">Net income</t>
  </si>
  <si>
    <t xml:space="preserve">Diluted shares</t>
  </si>
  <si>
    <t xml:space="preserve">Balance Sheet</t>
  </si>
  <si>
    <t xml:space="preserve">Cash and cash equivalents</t>
  </si>
  <si>
    <t xml:space="preserve">CRM FY2025/FY2026 10-K</t>
  </si>
  <si>
    <t xml:space="preserve">Marketable securities</t>
  </si>
  <si>
    <t xml:space="preserve">Accounts receivable, net</t>
  </si>
  <si>
    <t xml:space="preserve">Costs capitalized to obtain revenue contracts, current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</si>
  <si>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</si>
  <si>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</si>
  <si>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</si>
  <si>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right-of-use assets, net</t>
  </si>
  <si>
    <t xml:space="preserve">Noncurrent costs capitalized to obtain revenue contracts</t>
  </si>
  <si>
    <t xml:space="preserve">Strategic investments</t>
  </si>
  <si>
    <t xml:space="preserve">Goodwill</t>
  </si>
  <si>
    <t xml:space="preserve">Intangible assets, net</t>
  </si>
  <si>
    <t xml:space="preserve">Deferred tax assets and other assets, net</t>
  </si>
  <si>
    <t xml:space="preserve">Total assets</t>
  </si>
  <si>
    <t xml:space="preserve">Accounts payable, accrued expenses and other liabilities</t>
  </si>
  <si>
    <t xml:space="preserve">Operating lease liabilities, current</t>
  </si>
  <si>
    <t xml:space="preserve">Unearned revenue</t>
  </si>
  <si>
    <t xml:space="preserve">Debt, current</t>
  </si>
  <si>
    <t xml:space="preserve">Total current liabilities</t>
  </si>
  <si>
    <t xml:space="preserve">Noncurrent debt</t>
  </si>
  <si>
    <t xml:space="preserve">Noncurrent operating lease liabilities</t>
  </si>
  <si>
    <t xml:space="preserve">Other noncurrent liabilities</t>
  </si>
  <si>
    <t xml:space="preserve">Total liabilities</t>
  </si>
  <si>
    <t xml:space="preserve">Total stockholders' equity</t>
  </si>
  <si>
    <t xml:space="preserve">Total liabilities and stockholders' equity</t>
  </si>
  <si>
    <t xml:space="preserve">Cash Flow Statement</t>
  </si>
  <si>
    <t xml:space="preserve">Depreciation and amortization</t>
  </si>
  <si>
    <t xml:space="preserve">Amortization of costs capitalized to obtain revenue contracts</t>
  </si>
  <si>
    <t xml:space="preserve">Stock-based compensation expense</t>
  </si>
  <si>
    <t xml:space="preserve">Change in accounts receivable</t>
  </si>
  <si>
    <t xml:space="preserve">Change in costs capitalized to obtain revenue contracts</t>
  </si>
  <si>
    <t xml:space="preserve">Change in prepaid/other assets</t>
  </si>
  <si>
    <t xml:space="preserve">Change in accounts payable/accrued/other liabilities</t>
  </si>
  <si>
    <t xml:space="preserve">Change in operating lease liabilities</t>
  </si>
  <si>
    <t xml:space="preserve">Change in unearned revenue</t>
  </si>
  <si>
    <t xml:space="preserve">Net cash provided by operating activities</t>
  </si>
  <si>
    <t xml:space="preserve">Capital expenditures</t>
  </si>
  <si>
    <t xml:space="preserve">Free cash flow</t>
  </si>
  <si>
    <t xml:space="preserve">Formula: CFO + capex from CRM FY2026 10-K</t>
  </si>
  <si>
    <t xml:space="preserve">Net cash used in investing activities</t>
  </si>
  <si>
    <t xml:space="preserve">Net cash used in financing activities</t>
  </si>
  <si>
    <t xml:space="preserve">Net increase (decrease) in cash</t>
  </si>
  <si>
    <t xml:space="preserve">Cash and cash equivalents, beginning of period</t>
  </si>
  <si>
    <t xml:space="preserve">Cash and cash equivalents, end of period</t>
  </si>
  <si>
    <t xml:space="preserve">Inputs &amp; Forecast Assumptions — Salesforce, Inc.</t>
  </si>
  <si>
    <t xml:space="preserve">Assumption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</si>
  <si>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</si>
  <si>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</si>
  <si>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</si>
  <si>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</si>
  <si>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</si>
  <si>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Notes</t>
  </si>
  <si>
    <t xml:space="preserve">Revenue growth</t>
  </si>
  <si>
    <t xml:space="preserve">User-changeable forecast assumption</t>
  </si>
  <si>
    <t xml:space="preserve">Gross margin</t>
  </si>
  <si>
    <t xml:space="preserve">Formula assumption based on SaaS margin expansion</t>
  </si>
  <si>
    <t xml:space="preserve">R&amp;D as % revenue</t>
  </si>
  <si>
    <t xml:space="preserve">Forecast assumption</t>
  </si>
  <si>
    <t xml:space="preserve">Sales &amp; marketing as % revenue</t>
  </si>
  <si>
    <t xml:space="preserve">G&amp;A as % revenue</t>
  </si>
  <si>
    <t xml:space="preserve">Restructuring as % revenue</t>
  </si>
  <si>
    <t xml:space="preserve">Tax rate</t>
  </si>
  <si>
    <t xml:space="preserve">DCF tax assumption</t>
  </si>
  <si>
    <t xml:space="preserve">D&amp;A as % revenue</t>
  </si>
  <si>
    <t xml:space="preserve">SBC as % revenue</t>
  </si>
  <si>
    <t xml:space="preserve">Capex as % revenue</t>
  </si>
  <si>
    <t xml:space="preserve">Change in NWC as % revenue</t>
  </si>
  <si>
    <t xml:space="preserve">Negative = source of cash</t>
  </si>
  <si>
    <t xml:space="preserve">WACC</t>
  </si>
  <si>
    <t xml:space="preserve">DCF assumption</t>
  </si>
  <si>
    <t xml:space="preserve">Terminal growth</t>
  </si>
  <si>
    <t xml:space="preserve">Assumption based on FY2026 diluted shares less buybacks</t>
  </si>
  <si>
    <t xml:space="preserve">Current share price</t>
  </si>
  <si>
    <t xml:space="preserve">User-changeable market input; update before publishing</t>
  </si>
  <si>
    <t xml:space="preserve">Operating Model — Salesforce, Inc. ($mm except per-share data)</t>
  </si>
  <si>
    <t xml:space="preserve">Operating margin</t>
  </si>
  <si>
    <t xml:space="preserve">Tax expense / (benefit)</t>
  </si>
  <si>
    <t xml:space="preserve">Cash Flow / FCF</t>
  </si>
  <si>
    <t xml:space="preserve">Stock-based compensation</t>
  </si>
  <si>
    <t xml:space="preserve">Change in net working capital</t>
  </si>
  <si>
    <t xml:space="preserve">Cash flow from operations</t>
  </si>
  <si>
    <t xml:space="preserve">Balance Sheet Summary</t>
  </si>
  <si>
    <t xml:space="preserve">Debt</t>
  </si>
  <si>
    <t xml:space="preserve">Forecast balancing item / other net assets</t>
  </si>
  <si>
    <t xml:space="preserve">Balance check</t>
  </si>
  <si>
    <t xml:space="preserve">Discounted Cash Flow — Salesforce, Inc.</t>
  </si>
  <si>
    <t xml:space="preserve">Unlevered FCF</t>
  </si>
  <si>
    <t xml:space="preserve">Discount period</t>
  </si>
  <si>
    <t xml:space="preserve">PV factor</t>
  </si>
  <si>
    <t xml:space="preserve">PV of FCF</t>
  </si>
  <si>
    <t xml:space="preserve">Terminal value</t>
  </si>
  <si>
    <t xml:space="preserve">PV of terminal value</t>
  </si>
  <si>
    <t xml:space="preserve">Enterprise value</t>
  </si>
  <si>
    <t xml:space="preserve">Less: debt</t>
  </si>
  <si>
    <t xml:space="preserve">Add: cash + marketable securities</t>
  </si>
  <si>
    <t xml:space="preserve">Equity value</t>
  </si>
  <si>
    <t xml:space="preserve">Implied share price</t>
  </si>
  <si>
    <t xml:space="preserve">Implied upside / downside</t>
  </si>
  <si>
    <t xml:space="preserve">Share Price Sensitivity — WACC vs Terminal Growth</t>
  </si>
  <si>
    <t xml:space="preserve">QA Checks — Salesforce Model</t>
  </si>
  <si>
    <t xml:space="preserve">Check</t>
  </si>
  <si>
    <t xml:space="preserve">Status</t>
  </si>
  <si>
    <t xml:space="preserve">Revenue ties to filing</t>
  </si>
  <si>
    <t xml:space="preserve">Operating income ties to filing</t>
  </si>
  <si>
    <t xml:space="preserve">Net income ties to filing</t>
  </si>
  <si>
    <t xml:space="preserve">Cash ties to balance sheet</t>
  </si>
  <si>
    <t xml:space="preserve">Debt ties to balance sheet</t>
  </si>
  <si>
    <t xml:space="preserve">Cash flow ending cash ties</t>
  </si>
  <si>
    <t xml:space="preserve">Historical balance check</t>
  </si>
  <si>
    <t xml:space="preserve">Forecast balance check</t>
  </si>
  <si>
    <t xml:space="preserve">Source ID</t>
  </si>
  <si>
    <t xml:space="preserve">Document</t>
  </si>
  <si>
    <t xml:space="preserve">URL</t>
  </si>
  <si>
    <t xml:space="preserve">Relevant Lines / Usage</t>
  </si>
  <si>
    <t xml:space="preserve">Salesforce FY2026 Form 10-K (period ended Jan. 31, 2026)</t>
  </si>
  <si>
    <t xml:space="preserve">https://www.sec.gov/Archives/edgar/data/1108524/000110852426000060/crm-20260131.htm</t>
  </si>
  <si>
    <t xml:space="preserve">FY2026/FY2025 balance sheet; FY2026/FY2025/FY2024 income statement and cash flow; revenue mix; SBC/amortization</t>
  </si>
  <si>
    <t xml:space="preserve">CRM FY2025 10-K</t>
  </si>
  <si>
    <t xml:space="preserve">Salesforce FY2025 Form 10-K (period ended Jan. 31, 2025)</t>
  </si>
  <si>
    <t xml:space="preserve">https://www.sec.gov/Archives/edgar/data/1108524/000110852425000006/crm-20250131.htm</t>
  </si>
  <si>
    <t xml:space="preserve">FY2024 balance sheet; FY2025/FY2024/FY2023 comparison support</t>
  </si>
  <si>
    <t xml:space="preserve">SEC Filing Index</t>
  </si>
  <si>
    <t xml:space="preserve">EDGAR Filing Documents for 0001108524-26-000060</t>
  </si>
  <si>
    <t xml:space="preserve">https://www.sec.gov/Archives/edgar/data/1108524/0001108524-26-000060-index.htm</t>
  </si>
  <si>
    <t xml:space="preserve">Confirms 10-K accession and filing details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</si>
</sst>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(#,##0\);\-"/>
    <numFmt numFmtId="166" formatCode="0.0%;[RED]\(0.0%\);\-"/>
    <numFmt numFmtId="167" formatCode="0.0%"/>
    <numFmt numFmtId="168" formatCode="\$0.00;[RED]&quot;($&quot;0.00\);\-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000000"/>
        <bgColor rgb="FF00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/>
    <row r="3" customFormat="false" ht="18" hidden="false" customHeight="true" outlineLevel="0" collapsed="false">
      <c r="A3" s="3" t="s">
        <v>1</v>
      </c>
      <c r="B3" s="4" t="s">
        <v>2</v>
      </c>
    </row>
    <row r="4" customFormat="false" ht="18" hidden="false" customHeight="true" outlineLevel="0" collapsed="false">
      <c r="A4" s="3" t="s">
        <v>3</v>
      </c>
      <c r="B4" s="4" t="s">
        <v>4</v>
      </c>
    </row>
    <row r="5" customFormat="false" ht="18" hidden="false" customHeight="true" outlineLevel="0" collapsed="false">
      <c r="A5" s="3" t="s">
        <v>5</v>
      </c>
      <c r="B5" s="4" t="s">
        <v>6</v>
      </c>
    </row>
    <row r="6" customFormat="false" ht="18" hidden="false" customHeight="true" outlineLevel="0" collapsed="false">
      <c r="A6" s="3" t="s">
        <v>7</v>
      </c>
      <c r="B6" s="4" t="s">
        <v>8</v>
      </c>
    </row>
    <row r="7" customFormat="false" ht="18" hidden="false" customHeight="true" outlineLevel="0" collapsed="false">
      <c r="A7" s="3" t="s">
        <v>9</v>
      </c>
      <c r="B7" s="4" t="s">
        <v>10</v>
      </c>
    </row>
    <row r="8" customFormat="false" ht="18" hidden="false" customHeight="true" outlineLevel="0" collapsed="false">
      <c r="A8" s="3" t="s">
        <v>11</v>
      </c>
      <c r="B8" s="4" t="s">
        <v>12</v>
      </c>
    </row>
    <row r="9" customFormat="false" ht="18" hidden="false" customHeight="true" outlineLevel="0" collapsed="false">
      <c r="A9" s="3" t="s">
        <v>13</v>
      </c>
      <c r="B9" s="4" t="s">
        <v>14</v>
      </c>
    </row>
    <row r="10" customFormat="false" ht="18" hidden="false" customHeight="true" outlineLevel="0" collapsed="false">
      <c r="A10" s="3" t="s">
        <v>15</v>
      </c>
      <c r="B10" s="4" t="s">
        <v>16</v>
      </c>
    </row>
    <row r="11" customFormat="false" ht="18" hidden="false" customHeight="true" outlineLevel="0" collapsed="false">
      <c r="A11" s="3" t="s">
        <v>17</v>
      </c>
      <c r="B11" s="4" t="s">
        <v>18</v>
      </c>
    </row>
    <row r="12" customFormat="false" ht="18" hidden="false" customHeight="true" outlineLevel="0" collapsed="false">
      <c r="A12" s="3" t="s">
        <v>19</v>
      </c>
      <c r="B12" s="4" t="s">
        <v>20</v>
      </c>
    </row>
    <row r="13" customFormat="false" ht="15" hidden="false" customHeight="true" outlineLevel="0" collapsed="false"/>
    <row r="14" customFormat="false" ht="18" hidden="false" customHeight="true" outlineLevel="0" collapsed="false">
      <c r="A14" s="5" t="s">
        <v>21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6" t="s">
        <v>22</v>
      </c>
      <c r="B15" s="7" t="s">
        <v>23</v>
      </c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</row>
  </sheetData>
  <mergeCells count="2">
    <mergeCell ref="A1:H1"/>
    <mergeCell ref="A14:H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3"/>
    <col collapsed="false" customWidth="true" hidden="false" outlineLevel="0" max="5" min="5" style="1" width="48"/>
  </cols>
  <sheetData>
    <row r="1" customFormat="false" ht="18" hidden="false" customHeight="true" outlineLevel="0" collapsed="false">
      <c r="A1" s="9" t="s">
        <v>24</v>
      </c>
      <c r="B1" s="9"/>
      <c r="C1" s="9"/>
      <c r="D1" s="9"/>
      <c r="E1" s="9"/>
    </row>
    <row r="2" customFormat="false" ht="15" hidden="false" customHeight="true" outlineLevel="0" collapsed="false"/>
    <row r="3" customFormat="false" ht="18" hidden="false" customHeight="true" outlineLevel="0" collapsed="false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29</v>
      </c>
    </row>
    <row r="4" customFormat="false" ht="18" hidden="false" customHeight="true" outlineLevel="0" collapsed="false">
      <c r="A4" s="11" t="s">
        <v>30</v>
      </c>
      <c r="B4" s="12"/>
      <c r="C4" s="12"/>
      <c r="D4" s="12"/>
      <c r="E4" s="11"/>
    </row>
    <row r="5" customFormat="false" ht="15" hidden="false" customHeight="true" outlineLevel="0" collapsed="false">
      <c r="A5" s="13" t="s">
        <v>31</v>
      </c>
      <c r="B5" s="14" t="n">
        <v>32537</v>
      </c>
      <c r="C5" s="14" t="n">
        <v>35679</v>
      </c>
      <c r="D5" s="14" t="n">
        <v>39388</v>
      </c>
      <c r="E5" s="15" t="s">
        <v>32</v>
      </c>
    </row>
    <row r="6" customFormat="false" ht="15" hidden="false" customHeight="true" outlineLevel="0" collapsed="false">
      <c r="A6" s="13" t="s">
        <v>33</v>
      </c>
      <c r="B6" s="14" t="n">
        <v>2320</v>
      </c>
      <c r="C6" s="14" t="n">
        <v>2216</v>
      </c>
      <c r="D6" s="14" t="n">
        <v>2137</v>
      </c>
      <c r="E6" s="15" t="s">
        <v>32</v>
      </c>
    </row>
    <row r="7" customFormat="false" ht="15" hidden="false" customHeight="true" outlineLevel="0" collapsed="false">
      <c r="A7" s="16" t="s">
        <v>34</v>
      </c>
      <c r="B7" s="17" t="n">
        <v>34857</v>
      </c>
      <c r="C7" s="17" t="n">
        <v>37895</v>
      </c>
      <c r="D7" s="17" t="n">
        <v>41525</v>
      </c>
      <c r="E7" s="15" t="s">
        <v>32</v>
      </c>
    </row>
    <row r="8" customFormat="false" ht="15" hidden="false" customHeight="true" outlineLevel="0" collapsed="false">
      <c r="A8" s="13" t="s">
        <v>35</v>
      </c>
      <c r="B8" s="14" t="n">
        <v>6177</v>
      </c>
      <c r="C8" s="14" t="n">
        <v>6198</v>
      </c>
      <c r="D8" s="14" t="n">
        <v>6796</v>
      </c>
      <c r="E8" s="15" t="s">
        <v>32</v>
      </c>
    </row>
    <row r="9" customFormat="false" ht="15" hidden="false" customHeight="true" outlineLevel="0" collapsed="false">
      <c r="A9" s="13" t="s">
        <v>36</v>
      </c>
      <c r="B9" s="14" t="n">
        <v>2364</v>
      </c>
      <c r="C9" s="14" t="n">
        <v>2445</v>
      </c>
      <c r="D9" s="14" t="n">
        <v>2474</v>
      </c>
      <c r="E9" s="15" t="s">
        <v>32</v>
      </c>
    </row>
    <row r="10" customFormat="false" ht="15" hidden="false" customHeight="true" outlineLevel="0" collapsed="false">
      <c r="A10" s="16" t="s">
        <v>37</v>
      </c>
      <c r="B10" s="17" t="n">
        <v>8541</v>
      </c>
      <c r="C10" s="17" t="n">
        <v>8643</v>
      </c>
      <c r="D10" s="17" t="n">
        <v>9270</v>
      </c>
      <c r="E10" s="15" t="s">
        <v>32</v>
      </c>
    </row>
    <row r="11" customFormat="false" ht="15" hidden="false" customHeight="true" outlineLevel="0" collapsed="false">
      <c r="A11" s="16" t="s">
        <v>38</v>
      </c>
      <c r="B11" s="17" t="n">
        <v>26316</v>
      </c>
      <c r="C11" s="17" t="n">
        <v>29252</v>
      </c>
      <c r="D11" s="17" t="n">
        <v>32255</v>
      </c>
      <c r="E11" s="15" t="s">
        <v>32</v>
      </c>
    </row>
    <row r="12" customFormat="false" ht="15" hidden="false" customHeight="true" outlineLevel="0" collapsed="false">
      <c r="A12" s="13" t="s">
        <v>39</v>
      </c>
      <c r="B12" s="14" t="n">
        <v>4906</v>
      </c>
      <c r="C12" s="14" t="n">
        <v>5493</v>
      </c>
      <c r="D12" s="14" t="n">
        <v>5993</v>
      </c>
      <c r="E12" s="15" t="s">
        <v>32</v>
      </c>
    </row>
    <row r="13" customFormat="false" ht="15" hidden="false" customHeight="true" outlineLevel="0" collapsed="false">
      <c r="A13" s="13" t="s">
        <v>40</v>
      </c>
      <c r="B13" s="14" t="n">
        <v>12877</v>
      </c>
      <c r="C13" s="14" t="n">
        <v>13257</v>
      </c>
      <c r="D13" s="14" t="n">
        <v>14345</v>
      </c>
      <c r="E13" s="15" t="s">
        <v>32</v>
      </c>
    </row>
    <row r="14" customFormat="false" ht="15" hidden="false" customHeight="true" outlineLevel="0" collapsed="false">
      <c r="A14" s="13" t="s">
        <v>41</v>
      </c>
      <c r="B14" s="14" t="n">
        <v>2534</v>
      </c>
      <c r="C14" s="14" t="n">
        <v>2836</v>
      </c>
      <c r="D14" s="14" t="n">
        <v>3000</v>
      </c>
      <c r="E14" s="15" t="s">
        <v>32</v>
      </c>
    </row>
    <row r="15" customFormat="false" ht="15" hidden="false" customHeight="true" outlineLevel="0" collapsed="false">
      <c r="A15" s="13" t="s">
        <v>42</v>
      </c>
      <c r="B15" s="14" t="n">
        <v>988</v>
      </c>
      <c r="C15" s="14" t="n">
        <v>461</v>
      </c>
      <c r="D15" s="14" t="n">
        <v>586</v>
      </c>
      <c r="E15" s="15" t="s">
        <v>32</v>
      </c>
    </row>
    <row r="16" customFormat="false" ht="15" hidden="false" customHeight="true" outlineLevel="0" collapsed="false">
      <c r="A16" s="16" t="s">
        <v>43</v>
      </c>
      <c r="B16" s="17" t="n">
        <v>21305</v>
      </c>
      <c r="C16" s="17" t="n">
        <v>22047</v>
      </c>
      <c r="D16" s="17" t="n">
        <v>23924</v>
      </c>
      <c r="E16" s="15" t="s">
        <v>32</v>
      </c>
    </row>
    <row r="17" customFormat="false" ht="15" hidden="false" customHeight="true" outlineLevel="0" collapsed="false">
      <c r="A17" s="16" t="s">
        <v>44</v>
      </c>
      <c r="B17" s="17" t="n">
        <v>5011</v>
      </c>
      <c r="C17" s="17" t="n">
        <v>7205</v>
      </c>
      <c r="D17" s="17" t="n">
        <v>8331</v>
      </c>
      <c r="E17" s="15" t="s">
        <v>32</v>
      </c>
    </row>
    <row r="18" customFormat="false" ht="15" hidden="false" customHeight="true" outlineLevel="0" collapsed="false">
      <c r="A18" s="13" t="s">
        <v>45</v>
      </c>
      <c r="B18" s="14" t="n">
        <v>-277</v>
      </c>
      <c r="C18" s="14" t="n">
        <v>-121</v>
      </c>
      <c r="D18" s="14" t="n">
        <v>1017</v>
      </c>
      <c r="E18" s="15" t="s">
        <v>32</v>
      </c>
    </row>
    <row r="19" customFormat="false" ht="15" hidden="false" customHeight="true" outlineLevel="0" collapsed="false">
      <c r="A19" s="13" t="s">
        <v>46</v>
      </c>
      <c r="B19" s="14" t="n">
        <v>216</v>
      </c>
      <c r="C19" s="14" t="n">
        <v>354</v>
      </c>
      <c r="D19" s="14" t="n">
        <v>172</v>
      </c>
      <c r="E19" s="15" t="s">
        <v>32</v>
      </c>
    </row>
    <row r="20" customFormat="false" ht="15" hidden="false" customHeight="true" outlineLevel="0" collapsed="false">
      <c r="A20" s="13" t="s">
        <v>47</v>
      </c>
      <c r="B20" s="14" t="n">
        <v>4950</v>
      </c>
      <c r="C20" s="14" t="n">
        <v>7438</v>
      </c>
      <c r="D20" s="14" t="n">
        <v>9520</v>
      </c>
      <c r="E20" s="15" t="s">
        <v>32</v>
      </c>
    </row>
    <row r="21" customFormat="false" ht="15" hidden="false" customHeight="true" outlineLevel="0" collapsed="false">
      <c r="A21" s="13" t="s">
        <v>48</v>
      </c>
      <c r="B21" s="14" t="n">
        <v>-814</v>
      </c>
      <c r="C21" s="14" t="n">
        <v>-1241</v>
      </c>
      <c r="D21" s="14" t="n">
        <v>-2063</v>
      </c>
      <c r="E21" s="15" t="s">
        <v>32</v>
      </c>
    </row>
    <row r="22" customFormat="false" ht="15" hidden="false" customHeight="true" outlineLevel="0" collapsed="false">
      <c r="A22" s="16" t="s">
        <v>49</v>
      </c>
      <c r="B22" s="17" t="n">
        <v>4136</v>
      </c>
      <c r="C22" s="17" t="n">
        <v>6197</v>
      </c>
      <c r="D22" s="17" t="n">
        <v>7457</v>
      </c>
      <c r="E22" s="15" t="s">
        <v>32</v>
      </c>
    </row>
    <row r="23" customFormat="false" ht="15" hidden="false" customHeight="true" outlineLevel="0" collapsed="false">
      <c r="A23" s="13" t="s">
        <v>50</v>
      </c>
      <c r="B23" s="14" t="n">
        <v>984</v>
      </c>
      <c r="C23" s="14" t="n">
        <v>974</v>
      </c>
      <c r="D23" s="14" t="n">
        <v>956</v>
      </c>
      <c r="E23" s="15" t="s">
        <v>32</v>
      </c>
    </row>
    <row r="24" customFormat="false" ht="18" hidden="false" customHeight="true" outlineLevel="0" collapsed="false">
      <c r="A24" s="11" t="s">
        <v>51</v>
      </c>
      <c r="B24" s="12"/>
      <c r="C24" s="12"/>
      <c r="D24" s="12"/>
      <c r="E24" s="11"/>
    </row>
    <row r="25" customFormat="false" ht="15" hidden="false" customHeight="true" outlineLevel="0" collapsed="false">
      <c r="A25" s="13" t="s">
        <v>52</v>
      </c>
      <c r="B25" s="14" t="n">
        <v>8472</v>
      </c>
      <c r="C25" s="14" t="n">
        <v>8848</v>
      </c>
      <c r="D25" s="14" t="n">
        <v>7327</v>
      </c>
      <c r="E25" s="15" t="s">
        <v>53</v>
      </c>
    </row>
    <row r="26" customFormat="false" ht="15" hidden="false" customHeight="true" outlineLevel="0" collapsed="false">
      <c r="A26" s="13" t="s">
        <v>54</v>
      </c>
      <c r="B26" s="14" t="n">
        <v>5722</v>
      </c>
      <c r="C26" s="14" t="n">
        <v>5184</v>
      </c>
      <c r="D26" s="14" t="n">
        <v>2238</v>
      </c>
      <c r="E26" s="15" t="s">
        <v>53</v>
      </c>
    </row>
    <row r="27" customFormat="false" ht="15" hidden="false" customHeight="true" outlineLevel="0" collapsed="false">
      <c r="A27" s="13" t="s">
        <v>55</v>
      </c>
      <c r="B27" s="14" t="n">
        <v>11414</v>
      </c>
      <c r="C27" s="14" t="n">
        <v>11945</v>
      </c>
      <c r="D27" s="14" t="n">
        <v>14339</v>
      </c>
      <c r="E27" s="15" t="s">
        <v>53</v>
      </c>
    </row>
    <row r="28" customFormat="false" ht="15" hidden="false" customHeight="true" outlineLevel="0" collapsed="false">
      <c r="A28" s="13" t="s">
        <v>56</v>
      </c>
      <c r="B28" s="14" t="n">
        <v>1905</v>
      </c>
      <c r="C28" s="14" t="n">
        <v>1971</v>
      </c>
      <c r="D28" s="14" t="n">
        <v>2075</v>
      </c>
      <c r="E28" s="15" t="s">
        <v>53</v>
      </c>
    </row>
    <row r="29" customFormat="false" ht="15" hidden="false" customHeight="true" outlineLevel="0" collapsed="false">
      <c r="A29" s="13" t="s">
        <v>57</v>
      </c>
      <c r="B29" s="14" t="n">
        <v>1561</v>
      </c>
      <c r="C29" s="14" t="n">
        <v>1779</v>
      </c>
      <c r="D29" s="14" t="n">
        <v>2243</v>
      </c>
      <c r="E29" s="15" t="s">
        <v>53</v>
      </c>
    </row>
    <row r="30" customFormat="false" ht="15" hidden="false" customHeight="true" outlineLevel="0" collapsed="false">
      <c r="A30" s="16" t="s">
        <v>58</v>
      </c>
      <c r="B30" s="17" t="n">
        <v>29074</v>
      </c>
      <c r="C30" s="17" t="n">
        <v>29727</v>
      </c>
      <c r="D30" s="17" t="n">
        <v>28222</v>
      </c>
      <c r="E30" s="15" t="s">
        <v>53</v>
      </c>
    </row>
    <row r="31" customFormat="false" ht="15" hidden="false" customHeight="true" outlineLevel="0" collapsed="false">
      <c r="A31" s="13" t="s">
        <v>59</v>
      </c>
      <c r="B31" s="14" t="n">
        <v>3689</v>
      </c>
      <c r="C31" s="14" t="n">
        <v>3236</v>
      </c>
      <c r="D31" s="14" t="n">
        <v>3120</v>
      </c>
      <c r="E31" s="15" t="s">
        <v>53</v>
      </c>
    </row>
    <row r="32" customFormat="false" ht="15" hidden="false" customHeight="true" outlineLevel="0" collapsed="false">
      <c r="A32" s="13" t="s">
        <v>60</v>
      </c>
      <c r="B32" s="14" t="n">
        <v>2366</v>
      </c>
      <c r="C32" s="14" t="n">
        <v>2157</v>
      </c>
      <c r="D32" s="14" t="n">
        <v>2003</v>
      </c>
      <c r="E32" s="15" t="s">
        <v>53</v>
      </c>
    </row>
    <row r="33" customFormat="false" ht="15" hidden="false" customHeight="true" outlineLevel="0" collapsed="false">
      <c r="A33" s="13" t="s">
        <v>61</v>
      </c>
      <c r="B33" s="14" t="n">
        <v>2515</v>
      </c>
      <c r="C33" s="14" t="n">
        <v>2475</v>
      </c>
      <c r="D33" s="14" t="n">
        <v>2985</v>
      </c>
      <c r="E33" s="15" t="s">
        <v>53</v>
      </c>
    </row>
    <row r="34" customFormat="false" ht="15" hidden="false" customHeight="true" outlineLevel="0" collapsed="false">
      <c r="A34" s="13" t="s">
        <v>62</v>
      </c>
      <c r="B34" s="14" t="n">
        <v>4848</v>
      </c>
      <c r="C34" s="14" t="n">
        <v>4852</v>
      </c>
      <c r="D34" s="14" t="n">
        <v>7591</v>
      </c>
      <c r="E34" s="15" t="s">
        <v>53</v>
      </c>
    </row>
    <row r="35" customFormat="false" ht="15" hidden="false" customHeight="true" outlineLevel="0" collapsed="false">
      <c r="A35" s="13" t="s">
        <v>63</v>
      </c>
      <c r="B35" s="14" t="n">
        <v>48620</v>
      </c>
      <c r="C35" s="14" t="n">
        <v>51283</v>
      </c>
      <c r="D35" s="14" t="n">
        <v>57941</v>
      </c>
      <c r="E35" s="15" t="s">
        <v>53</v>
      </c>
    </row>
    <row r="36" customFormat="false" ht="15" hidden="false" customHeight="true" outlineLevel="0" collapsed="false">
      <c r="A36" s="13" t="s">
        <v>64</v>
      </c>
      <c r="B36" s="14" t="n">
        <v>5278</v>
      </c>
      <c r="C36" s="14" t="n">
        <v>4428</v>
      </c>
      <c r="D36" s="14" t="n">
        <v>6815</v>
      </c>
      <c r="E36" s="15" t="s">
        <v>53</v>
      </c>
    </row>
    <row r="37" customFormat="false" ht="15" hidden="false" customHeight="true" outlineLevel="0" collapsed="false">
      <c r="A37" s="13" t="s">
        <v>65</v>
      </c>
      <c r="B37" s="14" t="n">
        <v>3433</v>
      </c>
      <c r="C37" s="14" t="n">
        <v>4770</v>
      </c>
      <c r="D37" s="14" t="n">
        <v>3628</v>
      </c>
      <c r="E37" s="15" t="s">
        <v>53</v>
      </c>
    </row>
    <row r="38" customFormat="false" ht="15" hidden="false" customHeight="true" outlineLevel="0" collapsed="false">
      <c r="A38" s="16" t="s">
        <v>66</v>
      </c>
      <c r="B38" s="17" t="n">
        <v>99823</v>
      </c>
      <c r="C38" s="17" t="n">
        <v>102928</v>
      </c>
      <c r="D38" s="17" t="n">
        <v>112305</v>
      </c>
      <c r="E38" s="15" t="s">
        <v>53</v>
      </c>
    </row>
    <row r="39" customFormat="false" ht="15" hidden="false" customHeight="true" outlineLevel="0" collapsed="false">
      <c r="A39" s="13" t="s">
        <v>67</v>
      </c>
      <c r="B39" s="14" t="n">
        <v>6111</v>
      </c>
      <c r="C39" s="14" t="n">
        <v>6658</v>
      </c>
      <c r="D39" s="14" t="n">
        <v>8253</v>
      </c>
      <c r="E39" s="15" t="s">
        <v>53</v>
      </c>
    </row>
    <row r="40" customFormat="false" ht="15" hidden="false" customHeight="true" outlineLevel="0" collapsed="false">
      <c r="A40" s="13" t="s">
        <v>68</v>
      </c>
      <c r="B40" s="14" t="n">
        <v>518</v>
      </c>
      <c r="C40" s="14" t="n">
        <v>579</v>
      </c>
      <c r="D40" s="14" t="n">
        <v>548</v>
      </c>
      <c r="E40" s="15" t="s">
        <v>53</v>
      </c>
    </row>
    <row r="41" customFormat="false" ht="15" hidden="false" customHeight="true" outlineLevel="0" collapsed="false">
      <c r="A41" s="13" t="s">
        <v>69</v>
      </c>
      <c r="B41" s="14" t="n">
        <v>19003</v>
      </c>
      <c r="C41" s="14" t="n">
        <v>20743</v>
      </c>
      <c r="D41" s="14" t="n">
        <v>24317</v>
      </c>
      <c r="E41" s="15" t="s">
        <v>53</v>
      </c>
    </row>
    <row r="42" customFormat="false" ht="15" hidden="false" customHeight="true" outlineLevel="0" collapsed="false">
      <c r="A42" s="13" t="s">
        <v>70</v>
      </c>
      <c r="B42" s="14" t="n">
        <v>999</v>
      </c>
      <c r="C42" s="14" t="n">
        <v>0</v>
      </c>
      <c r="D42" s="14" t="n">
        <v>4000</v>
      </c>
      <c r="E42" s="15" t="s">
        <v>53</v>
      </c>
    </row>
    <row r="43" customFormat="false" ht="15" hidden="false" customHeight="true" outlineLevel="0" collapsed="false">
      <c r="A43" s="16" t="s">
        <v>71</v>
      </c>
      <c r="B43" s="17" t="n">
        <v>26631</v>
      </c>
      <c r="C43" s="17" t="n">
        <v>27980</v>
      </c>
      <c r="D43" s="17" t="n">
        <v>37118</v>
      </c>
      <c r="E43" s="15" t="s">
        <v>53</v>
      </c>
    </row>
    <row r="44" customFormat="false" ht="15" hidden="false" customHeight="true" outlineLevel="0" collapsed="false">
      <c r="A44" s="13" t="s">
        <v>72</v>
      </c>
      <c r="B44" s="14" t="n">
        <v>8427</v>
      </c>
      <c r="C44" s="14" t="n">
        <v>8433</v>
      </c>
      <c r="D44" s="14" t="n">
        <v>10439</v>
      </c>
      <c r="E44" s="15" t="s">
        <v>53</v>
      </c>
    </row>
    <row r="45" customFormat="false" ht="15" hidden="false" customHeight="true" outlineLevel="0" collapsed="false">
      <c r="A45" s="13" t="s">
        <v>73</v>
      </c>
      <c r="B45" s="14" t="n">
        <v>2644</v>
      </c>
      <c r="C45" s="14" t="n">
        <v>2380</v>
      </c>
      <c r="D45" s="14" t="n">
        <v>2189</v>
      </c>
      <c r="E45" s="15" t="s">
        <v>53</v>
      </c>
    </row>
    <row r="46" customFormat="false" ht="15" hidden="false" customHeight="true" outlineLevel="0" collapsed="false">
      <c r="A46" s="13" t="s">
        <v>74</v>
      </c>
      <c r="B46" s="14" t="n">
        <v>2475</v>
      </c>
      <c r="C46" s="14" t="n">
        <v>2962</v>
      </c>
      <c r="D46" s="14" t="n">
        <v>3417</v>
      </c>
      <c r="E46" s="15" t="s">
        <v>53</v>
      </c>
    </row>
    <row r="47" customFormat="false" ht="15" hidden="false" customHeight="true" outlineLevel="0" collapsed="false">
      <c r="A47" s="16" t="s">
        <v>75</v>
      </c>
      <c r="B47" s="17" t="n">
        <v>40177</v>
      </c>
      <c r="C47" s="17" t="n">
        <v>41755</v>
      </c>
      <c r="D47" s="17" t="n">
        <v>53163</v>
      </c>
      <c r="E47" s="15" t="s">
        <v>53</v>
      </c>
    </row>
    <row r="48" customFormat="false" ht="15" hidden="false" customHeight="true" outlineLevel="0" collapsed="false">
      <c r="A48" s="16" t="s">
        <v>76</v>
      </c>
      <c r="B48" s="17" t="n">
        <v>59646</v>
      </c>
      <c r="C48" s="17" t="n">
        <v>61173</v>
      </c>
      <c r="D48" s="17" t="n">
        <v>59142</v>
      </c>
      <c r="E48" s="15" t="s">
        <v>53</v>
      </c>
    </row>
    <row r="49" customFormat="false" ht="15" hidden="false" customHeight="true" outlineLevel="0" collapsed="false">
      <c r="A49" s="16" t="s">
        <v>77</v>
      </c>
      <c r="B49" s="17" t="n">
        <v>99823</v>
      </c>
      <c r="C49" s="17" t="n">
        <v>102928</v>
      </c>
      <c r="D49" s="17" t="n">
        <v>112305</v>
      </c>
      <c r="E49" s="15" t="s">
        <v>53</v>
      </c>
    </row>
    <row r="50" customFormat="false" ht="18" hidden="false" customHeight="true" outlineLevel="0" collapsed="false">
      <c r="A50" s="11" t="s">
        <v>78</v>
      </c>
      <c r="B50" s="12"/>
      <c r="C50" s="12"/>
      <c r="D50" s="12"/>
      <c r="E50" s="11"/>
    </row>
    <row r="51" customFormat="false" ht="15" hidden="false" customHeight="true" outlineLevel="0" collapsed="false">
      <c r="A51" s="16" t="s">
        <v>49</v>
      </c>
      <c r="B51" s="17" t="n">
        <v>4136</v>
      </c>
      <c r="C51" s="17" t="n">
        <v>6197</v>
      </c>
      <c r="D51" s="17" t="n">
        <v>7457</v>
      </c>
      <c r="E51" s="15" t="s">
        <v>32</v>
      </c>
    </row>
    <row r="52" customFormat="false" ht="15" hidden="false" customHeight="true" outlineLevel="0" collapsed="false">
      <c r="A52" s="13" t="s">
        <v>79</v>
      </c>
      <c r="B52" s="14" t="n">
        <v>3959</v>
      </c>
      <c r="C52" s="14" t="n">
        <v>3477</v>
      </c>
      <c r="D52" s="14" t="n">
        <v>3631</v>
      </c>
      <c r="E52" s="15" t="s">
        <v>32</v>
      </c>
    </row>
    <row r="53" customFormat="false" ht="15" hidden="false" customHeight="true" outlineLevel="0" collapsed="false">
      <c r="A53" s="13" t="s">
        <v>80</v>
      </c>
      <c r="B53" s="14" t="n">
        <v>1925</v>
      </c>
      <c r="C53" s="14" t="n">
        <v>2095</v>
      </c>
      <c r="D53" s="14" t="n">
        <v>2197</v>
      </c>
      <c r="E53" s="15" t="s">
        <v>32</v>
      </c>
    </row>
    <row r="54" customFormat="false" ht="15" hidden="false" customHeight="true" outlineLevel="0" collapsed="false">
      <c r="A54" s="13" t="s">
        <v>81</v>
      </c>
      <c r="B54" s="14" t="n">
        <v>2787</v>
      </c>
      <c r="C54" s="14" t="n">
        <v>3183</v>
      </c>
      <c r="D54" s="14" t="n">
        <v>3509</v>
      </c>
      <c r="E54" s="15" t="s">
        <v>32</v>
      </c>
    </row>
    <row r="55" customFormat="false" ht="15" hidden="false" customHeight="true" outlineLevel="0" collapsed="false">
      <c r="A55" s="13" t="s">
        <v>45</v>
      </c>
      <c r="B55" s="14" t="n">
        <v>277</v>
      </c>
      <c r="C55" s="14" t="n">
        <v>121</v>
      </c>
      <c r="D55" s="14" t="n">
        <v>-1017</v>
      </c>
      <c r="E55" s="15" t="s">
        <v>32</v>
      </c>
    </row>
    <row r="56" customFormat="false" ht="15" hidden="false" customHeight="true" outlineLevel="0" collapsed="false">
      <c r="A56" s="13" t="s">
        <v>82</v>
      </c>
      <c r="B56" s="14" t="n">
        <v>-659</v>
      </c>
      <c r="C56" s="14" t="n">
        <v>-490</v>
      </c>
      <c r="D56" s="14" t="n">
        <v>-2160</v>
      </c>
      <c r="E56" s="15" t="s">
        <v>32</v>
      </c>
    </row>
    <row r="57" customFormat="false" ht="15" hidden="false" customHeight="true" outlineLevel="0" collapsed="false">
      <c r="A57" s="13" t="s">
        <v>83</v>
      </c>
      <c r="B57" s="14" t="n">
        <v>-1872</v>
      </c>
      <c r="C57" s="14" t="n">
        <v>-2121</v>
      </c>
      <c r="D57" s="14" t="n">
        <v>-2811</v>
      </c>
      <c r="E57" s="15" t="s">
        <v>32</v>
      </c>
    </row>
    <row r="58" customFormat="false" ht="15" hidden="false" customHeight="true" outlineLevel="0" collapsed="false">
      <c r="A58" s="13" t="s">
        <v>84</v>
      </c>
      <c r="B58" s="14" t="n">
        <v>-843</v>
      </c>
      <c r="C58" s="14" t="n">
        <v>-1495</v>
      </c>
      <c r="D58" s="14" t="n">
        <v>819</v>
      </c>
      <c r="E58" s="15" t="s">
        <v>32</v>
      </c>
    </row>
    <row r="59" customFormat="false" ht="15" hidden="false" customHeight="true" outlineLevel="0" collapsed="false">
      <c r="A59" s="13" t="s">
        <v>85</v>
      </c>
      <c r="B59" s="14" t="n">
        <v>-478</v>
      </c>
      <c r="C59" s="14" t="n">
        <v>1089</v>
      </c>
      <c r="D59" s="14" t="n">
        <v>1014</v>
      </c>
      <c r="E59" s="15" t="s">
        <v>32</v>
      </c>
    </row>
    <row r="60" customFormat="false" ht="15" hidden="false" customHeight="true" outlineLevel="0" collapsed="false">
      <c r="A60" s="13" t="s">
        <v>86</v>
      </c>
      <c r="B60" s="14" t="n">
        <v>-621</v>
      </c>
      <c r="C60" s="14" t="n">
        <v>-548</v>
      </c>
      <c r="D60" s="14" t="n">
        <v>-567</v>
      </c>
      <c r="E60" s="15" t="s">
        <v>32</v>
      </c>
    </row>
    <row r="61" customFormat="false" ht="15" hidden="false" customHeight="true" outlineLevel="0" collapsed="false">
      <c r="A61" s="13" t="s">
        <v>87</v>
      </c>
      <c r="B61" s="14" t="n">
        <v>1623</v>
      </c>
      <c r="C61" s="14" t="n">
        <v>1584</v>
      </c>
      <c r="D61" s="14" t="n">
        <v>2924</v>
      </c>
      <c r="E61" s="15" t="s">
        <v>32</v>
      </c>
    </row>
    <row r="62" customFormat="false" ht="15" hidden="false" customHeight="true" outlineLevel="0" collapsed="false">
      <c r="A62" s="16" t="s">
        <v>88</v>
      </c>
      <c r="B62" s="17" t="n">
        <v>10234</v>
      </c>
      <c r="C62" s="17" t="n">
        <v>13092</v>
      </c>
      <c r="D62" s="17" t="n">
        <v>14996</v>
      </c>
      <c r="E62" s="15" t="s">
        <v>32</v>
      </c>
    </row>
    <row r="63" customFormat="false" ht="15" hidden="false" customHeight="true" outlineLevel="0" collapsed="false">
      <c r="A63" s="13" t="s">
        <v>89</v>
      </c>
      <c r="B63" s="14" t="n">
        <v>-736</v>
      </c>
      <c r="C63" s="14" t="n">
        <v>-658</v>
      </c>
      <c r="D63" s="14" t="n">
        <v>-594</v>
      </c>
      <c r="E63" s="15" t="s">
        <v>32</v>
      </c>
    </row>
    <row r="64" customFormat="false" ht="15" hidden="false" customHeight="true" outlineLevel="0" collapsed="false">
      <c r="A64" s="16" t="s">
        <v>90</v>
      </c>
      <c r="B64" s="17" t="n">
        <v>9498</v>
      </c>
      <c r="C64" s="17" t="n">
        <v>12434</v>
      </c>
      <c r="D64" s="17" t="n">
        <v>14402</v>
      </c>
      <c r="E64" s="15" t="s">
        <v>91</v>
      </c>
    </row>
    <row r="65" customFormat="false" ht="15" hidden="false" customHeight="true" outlineLevel="0" collapsed="false">
      <c r="A65" s="13" t="s">
        <v>92</v>
      </c>
      <c r="B65" s="14" t="n">
        <v>-1327</v>
      </c>
      <c r="C65" s="14" t="n">
        <v>-3163</v>
      </c>
      <c r="D65" s="14" t="n">
        <v>-8590</v>
      </c>
      <c r="E65" s="15" t="s">
        <v>32</v>
      </c>
    </row>
    <row r="66" customFormat="false" ht="15" hidden="false" customHeight="true" outlineLevel="0" collapsed="false">
      <c r="A66" s="13" t="s">
        <v>93</v>
      </c>
      <c r="B66" s="14" t="n">
        <v>-7477</v>
      </c>
      <c r="C66" s="14" t="n">
        <v>-9429</v>
      </c>
      <c r="D66" s="14" t="n">
        <v>-8079</v>
      </c>
      <c r="E66" s="15" t="s">
        <v>32</v>
      </c>
    </row>
    <row r="67" customFormat="false" ht="15" hidden="false" customHeight="true" outlineLevel="0" collapsed="false">
      <c r="A67" s="13" t="s">
        <v>94</v>
      </c>
      <c r="B67" s="14" t="n">
        <v>1456</v>
      </c>
      <c r="C67" s="14" t="n">
        <v>376</v>
      </c>
      <c r="D67" s="14" t="n">
        <v>-1521</v>
      </c>
      <c r="E67" s="15" t="s">
        <v>32</v>
      </c>
    </row>
    <row r="68" customFormat="false" ht="15" hidden="false" customHeight="true" outlineLevel="0" collapsed="false">
      <c r="A68" s="13" t="s">
        <v>95</v>
      </c>
      <c r="B68" s="14" t="n">
        <v>7016</v>
      </c>
      <c r="C68" s="14" t="n">
        <v>8472</v>
      </c>
      <c r="D68" s="14" t="n">
        <v>8848</v>
      </c>
      <c r="E68" s="15" t="s">
        <v>32</v>
      </c>
    </row>
    <row r="69" customFormat="false" ht="15" hidden="false" customHeight="true" outlineLevel="0" collapsed="false">
      <c r="A69" s="13" t="s">
        <v>96</v>
      </c>
      <c r="B69" s="14" t="n">
        <v>8472</v>
      </c>
      <c r="C69" s="14" t="n">
        <v>8848</v>
      </c>
      <c r="D69" s="14" t="n">
        <v>7327</v>
      </c>
      <c r="E69" s="15" t="s">
        <v>32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7" min="7" style="1" width="48"/>
  </cols>
  <sheetData>
    <row r="1" customFormat="false" ht="18" hidden="false" customHeight="true" outlineLevel="0" collapsed="false">
      <c r="A1" s="18" t="s">
        <v>97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/>
    <row r="3" customFormat="false" ht="18" hidden="false" customHeight="true" outlineLevel="0" collapsed="false">
      <c r="A3" s="19" t="s">
        <v>98</v>
      </c>
      <c r="B3" s="19" t="s">
        <v>99</v>
      </c>
      <c r="C3" s="19" t="s">
        <v>100</v>
      </c>
      <c r="D3" s="19" t="s">
        <v>101</v>
      </c>
      <c r="E3" s="19" t="s">
        <v>102</v>
      </c>
      <c r="F3" s="19" t="s">
        <v>103</v>
      </c>
      <c r="G3" s="19" t="s">
        <v>104</v>
      </c>
    </row>
    <row r="4" customFormat="false" ht="15" hidden="false" customHeight="true" outlineLevel="0" collapsed="false">
      <c r="A4" s="13" t="s">
        <v>105</v>
      </c>
      <c r="B4" s="20" t="n">
        <v>0.105</v>
      </c>
      <c r="C4" s="20" t="n">
        <v>0.095</v>
      </c>
      <c r="D4" s="20" t="n">
        <v>0.085</v>
      </c>
      <c r="E4" s="20" t="n">
        <v>0.075</v>
      </c>
      <c r="F4" s="20" t="n">
        <v>0.065</v>
      </c>
      <c r="G4" s="15" t="s">
        <v>106</v>
      </c>
    </row>
    <row r="5" customFormat="false" ht="30" hidden="false" customHeight="true" outlineLevel="0" collapsed="false">
      <c r="A5" s="13" t="s">
        <v>107</v>
      </c>
      <c r="B5" s="20" t="n">
        <v>0.78</v>
      </c>
      <c r="C5" s="20" t="n">
        <v>0.785</v>
      </c>
      <c r="D5" s="20" t="n">
        <v>0.79</v>
      </c>
      <c r="E5" s="20" t="n">
        <v>0.795</v>
      </c>
      <c r="F5" s="20" t="n">
        <v>0.8</v>
      </c>
      <c r="G5" s="15" t="s">
        <v>108</v>
      </c>
    </row>
    <row r="6" customFormat="false" ht="15" hidden="false" customHeight="true" outlineLevel="0" collapsed="false">
      <c r="A6" s="13" t="s">
        <v>109</v>
      </c>
      <c r="B6" s="20" t="n">
        <v>0.142</v>
      </c>
      <c r="C6" s="20" t="n">
        <v>0.141</v>
      </c>
      <c r="D6" s="20" t="n">
        <v>0.14</v>
      </c>
      <c r="E6" s="20" t="n">
        <v>0.139</v>
      </c>
      <c r="F6" s="20" t="n">
        <v>0.138</v>
      </c>
      <c r="G6" s="15" t="s">
        <v>110</v>
      </c>
    </row>
    <row r="7" customFormat="false" ht="15" hidden="false" customHeight="true" outlineLevel="0" collapsed="false">
      <c r="A7" s="13" t="s">
        <v>111</v>
      </c>
      <c r="B7" s="20" t="n">
        <v>0.335</v>
      </c>
      <c r="C7" s="20" t="n">
        <v>0.328</v>
      </c>
      <c r="D7" s="20" t="n">
        <v>0.322</v>
      </c>
      <c r="E7" s="20" t="n">
        <v>0.316</v>
      </c>
      <c r="F7" s="20" t="n">
        <v>0.31</v>
      </c>
      <c r="G7" s="15" t="s">
        <v>110</v>
      </c>
    </row>
    <row r="8" customFormat="false" ht="15" hidden="false" customHeight="true" outlineLevel="0" collapsed="false">
      <c r="A8" s="13" t="s">
        <v>112</v>
      </c>
      <c r="B8" s="20" t="n">
        <v>0.071</v>
      </c>
      <c r="C8" s="20" t="n">
        <v>0.07</v>
      </c>
      <c r="D8" s="20" t="n">
        <v>0.069</v>
      </c>
      <c r="E8" s="20" t="n">
        <v>0.068</v>
      </c>
      <c r="F8" s="20" t="n">
        <v>0.067</v>
      </c>
      <c r="G8" s="15" t="s">
        <v>110</v>
      </c>
    </row>
    <row r="9" customFormat="false" ht="15" hidden="false" customHeight="true" outlineLevel="0" collapsed="false">
      <c r="A9" s="13" t="s">
        <v>113</v>
      </c>
      <c r="B9" s="20" t="n">
        <v>0.01</v>
      </c>
      <c r="C9" s="20" t="n">
        <v>0.006</v>
      </c>
      <c r="D9" s="20" t="n">
        <v>0.004</v>
      </c>
      <c r="E9" s="20" t="n">
        <v>0.003</v>
      </c>
      <c r="F9" s="20" t="n">
        <v>0.002</v>
      </c>
      <c r="G9" s="15" t="s">
        <v>110</v>
      </c>
    </row>
    <row r="10" customFormat="false" ht="15" hidden="false" customHeight="true" outlineLevel="0" collapsed="false">
      <c r="A10" s="13" t="s">
        <v>114</v>
      </c>
      <c r="B10" s="20" t="n">
        <v>0.225</v>
      </c>
      <c r="C10" s="20" t="n">
        <v>0.225</v>
      </c>
      <c r="D10" s="20" t="n">
        <v>0.225</v>
      </c>
      <c r="E10" s="20" t="n">
        <v>0.225</v>
      </c>
      <c r="F10" s="20" t="n">
        <v>0.225</v>
      </c>
      <c r="G10" s="15" t="s">
        <v>115</v>
      </c>
    </row>
    <row r="11" customFormat="false" ht="15" hidden="false" customHeight="true" outlineLevel="0" collapsed="false">
      <c r="A11" s="13" t="s">
        <v>116</v>
      </c>
      <c r="B11" s="20" t="n">
        <v>0.085</v>
      </c>
      <c r="C11" s="20" t="n">
        <v>0.082</v>
      </c>
      <c r="D11" s="20" t="n">
        <v>0.08</v>
      </c>
      <c r="E11" s="20" t="n">
        <v>0.078</v>
      </c>
      <c r="F11" s="20" t="n">
        <v>0.076</v>
      </c>
      <c r="G11" s="15" t="s">
        <v>110</v>
      </c>
    </row>
    <row r="12" customFormat="false" ht="15" hidden="false" customHeight="true" outlineLevel="0" collapsed="false">
      <c r="A12" s="13" t="s">
        <v>117</v>
      </c>
      <c r="B12" s="20" t="n">
        <v>0.08</v>
      </c>
      <c r="C12" s="20" t="n">
        <v>0.076</v>
      </c>
      <c r="D12" s="20" t="n">
        <v>0.072</v>
      </c>
      <c r="E12" s="20" t="n">
        <v>0.068</v>
      </c>
      <c r="F12" s="20" t="n">
        <v>0.064</v>
      </c>
      <c r="G12" s="15" t="s">
        <v>110</v>
      </c>
    </row>
    <row r="13" customFormat="false" ht="15" hidden="false" customHeight="true" outlineLevel="0" collapsed="false">
      <c r="A13" s="13" t="s">
        <v>118</v>
      </c>
      <c r="B13" s="20" t="n">
        <v>0.015</v>
      </c>
      <c r="C13" s="20" t="n">
        <v>0.015</v>
      </c>
      <c r="D13" s="20" t="n">
        <v>0.015</v>
      </c>
      <c r="E13" s="20" t="n">
        <v>0.015</v>
      </c>
      <c r="F13" s="20" t="n">
        <v>0.015</v>
      </c>
      <c r="G13" s="15" t="s">
        <v>110</v>
      </c>
    </row>
    <row r="14" customFormat="false" ht="15" hidden="false" customHeight="true" outlineLevel="0" collapsed="false">
      <c r="A14" s="13" t="s">
        <v>119</v>
      </c>
      <c r="B14" s="20" t="n">
        <v>-0.01</v>
      </c>
      <c r="C14" s="20" t="n">
        <v>-0.008</v>
      </c>
      <c r="D14" s="20" t="n">
        <v>-0.006</v>
      </c>
      <c r="E14" s="20" t="n">
        <v>-0.004</v>
      </c>
      <c r="F14" s="20" t="n">
        <v>-0.003</v>
      </c>
      <c r="G14" s="15" t="s">
        <v>120</v>
      </c>
    </row>
    <row r="15" customFormat="false" ht="15" hidden="false" customHeight="true" outlineLevel="0" collapsed="false">
      <c r="A15" s="13" t="s">
        <v>121</v>
      </c>
      <c r="B15" s="20" t="n">
        <v>0.085</v>
      </c>
      <c r="C15" s="21"/>
      <c r="D15" s="21"/>
      <c r="E15" s="21"/>
      <c r="F15" s="21"/>
      <c r="G15" s="15" t="s">
        <v>122</v>
      </c>
    </row>
    <row r="16" customFormat="false" ht="15" hidden="false" customHeight="true" outlineLevel="0" collapsed="false">
      <c r="A16" s="13" t="s">
        <v>123</v>
      </c>
      <c r="B16" s="20" t="n">
        <v>0.03</v>
      </c>
      <c r="C16" s="21"/>
      <c r="D16" s="21"/>
      <c r="E16" s="21"/>
      <c r="F16" s="21"/>
      <c r="G16" s="15" t="s">
        <v>122</v>
      </c>
    </row>
    <row r="17" customFormat="false" ht="30" hidden="false" customHeight="true" outlineLevel="0" collapsed="false">
      <c r="A17" s="13" t="s">
        <v>50</v>
      </c>
      <c r="B17" s="22" t="n">
        <v>930</v>
      </c>
      <c r="C17" s="23"/>
      <c r="D17" s="23"/>
      <c r="E17" s="23"/>
      <c r="F17" s="23"/>
      <c r="G17" s="15" t="s">
        <v>124</v>
      </c>
    </row>
    <row r="18" customFormat="false" ht="30" hidden="false" customHeight="true" outlineLevel="0" collapsed="false">
      <c r="A18" s="13" t="s">
        <v>125</v>
      </c>
      <c r="B18" s="22" t="n">
        <v>170</v>
      </c>
      <c r="C18" s="23"/>
      <c r="D18" s="23"/>
      <c r="E18" s="23"/>
      <c r="F18" s="23"/>
      <c r="G18" s="15" t="s">
        <v>126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2" style="1" width="13"/>
  </cols>
  <sheetData>
    <row r="1" customFormat="false" ht="18" hidden="false" customHeight="true" outlineLevel="0" collapsed="false">
      <c r="A1" s="9" t="s">
        <v>127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true" outlineLevel="0" collapsed="false"/>
    <row r="3" customFormat="false" ht="18" hidden="false" customHeight="true" outlineLevel="0" collapsed="false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99</v>
      </c>
      <c r="F3" s="10" t="s">
        <v>100</v>
      </c>
      <c r="G3" s="10" t="s">
        <v>101</v>
      </c>
      <c r="H3" s="10" t="s">
        <v>102</v>
      </c>
      <c r="I3" s="10" t="s">
        <v>103</v>
      </c>
    </row>
    <row r="4" customFormat="false" ht="18" hidden="false" customHeight="true" outlineLevel="0" collapsed="false">
      <c r="A4" s="11" t="s">
        <v>30</v>
      </c>
      <c r="B4" s="12"/>
      <c r="C4" s="12"/>
      <c r="D4" s="12"/>
      <c r="E4" s="12"/>
      <c r="F4" s="12"/>
      <c r="G4" s="12"/>
      <c r="H4" s="12"/>
      <c r="I4" s="12"/>
    </row>
    <row r="5" customFormat="false" ht="15" hidden="false" customHeight="true" outlineLevel="0" collapsed="false">
      <c r="A5" s="13" t="s">
        <v>31</v>
      </c>
      <c r="B5" s="14" t="n">
        <v>32537</v>
      </c>
      <c r="C5" s="14" t="n">
        <v>35679</v>
      </c>
      <c r="D5" s="14" t="n">
        <v>39388</v>
      </c>
      <c r="E5" s="24" t="n">
        <f aca="false">D5*(1+Inputs!B4)*95%</f>
        <v>41347.553</v>
      </c>
      <c r="F5" s="24" t="n">
        <f aca="false">E5*(1+Inputs!C4)*95.2%</f>
        <v>43102.34314932</v>
      </c>
      <c r="G5" s="24" t="n">
        <f aca="false">F5*(1+Inputs!D4)*95.4%</f>
        <v>44614.8043704296</v>
      </c>
      <c r="H5" s="24" t="n">
        <f aca="false">G5*(1+Inputs!E4)*95.6%</f>
        <v>45850.6344514905</v>
      </c>
      <c r="I5" s="24" t="n">
        <f aca="false">H5*(1+Inputs!F4)*95.8%</f>
        <v>46780.0268118222</v>
      </c>
    </row>
    <row r="6" customFormat="false" ht="15" hidden="false" customHeight="true" outlineLevel="0" collapsed="false">
      <c r="A6" s="13" t="s">
        <v>33</v>
      </c>
      <c r="B6" s="14" t="n">
        <v>2320</v>
      </c>
      <c r="C6" s="14" t="n">
        <v>2216</v>
      </c>
      <c r="D6" s="14" t="n">
        <v>2137</v>
      </c>
      <c r="E6" s="24" t="n">
        <f aca="false">D6*(1+Inputs!B4)*105%</f>
        <v>2479.45425</v>
      </c>
      <c r="F6" s="24" t="n">
        <f aca="false">E6*(1+Inputs!C4)*104.8%</f>
        <v>2845.32251913</v>
      </c>
      <c r="G6" s="24" t="n">
        <f aca="false">F6*(1+Inputs!D4)*104.6%</f>
        <v>3229.18498018583</v>
      </c>
      <c r="H6" s="24" t="n">
        <f aca="false">G6*(1+Inputs!E4)*104.4%</f>
        <v>3624.11430326256</v>
      </c>
      <c r="I6" s="24" t="n">
        <f aca="false">H6*(1+Inputs!F4)*104.2%</f>
        <v>4021.78836575956</v>
      </c>
    </row>
    <row r="7" customFormat="false" ht="15" hidden="false" customHeight="true" outlineLevel="0" collapsed="false">
      <c r="A7" s="25" t="s">
        <v>34</v>
      </c>
      <c r="B7" s="17" t="n">
        <v>34857</v>
      </c>
      <c r="C7" s="17" t="n">
        <v>37895</v>
      </c>
      <c r="D7" s="17" t="n">
        <v>41525</v>
      </c>
      <c r="E7" s="26" t="n">
        <f aca="false">SUM(E5:E6)</f>
        <v>43827.00725</v>
      </c>
      <c r="F7" s="26" t="n">
        <f aca="false">SUM(F5:F6)</f>
        <v>45947.66566845</v>
      </c>
      <c r="G7" s="26" t="n">
        <f aca="false">SUM(G5:G6)</f>
        <v>47843.9893506155</v>
      </c>
      <c r="H7" s="26" t="n">
        <f aca="false">SUM(H5:H6)</f>
        <v>49474.7487547531</v>
      </c>
      <c r="I7" s="26" t="n">
        <f aca="false">SUM(I5:I6)</f>
        <v>50801.8151775818</v>
      </c>
    </row>
    <row r="8" customFormat="false" ht="15" hidden="false" customHeight="true" outlineLevel="0" collapsed="false">
      <c r="A8" s="13" t="s">
        <v>105</v>
      </c>
      <c r="B8" s="27"/>
      <c r="C8" s="28" t="n">
        <f aca="false">C7/B7-1</f>
        <v>0.0871560949020283</v>
      </c>
      <c r="D8" s="28" t="n">
        <f aca="false">D7/C7-1</f>
        <v>0.0957910014513788</v>
      </c>
      <c r="E8" s="29" t="n">
        <f aca="false">E7/D7-1</f>
        <v>0.0554366586393738</v>
      </c>
      <c r="F8" s="29" t="n">
        <f aca="false">F7/E7-1</f>
        <v>0.0483870232423869</v>
      </c>
      <c r="G8" s="29" t="n">
        <f aca="false">G7/F7-1</f>
        <v>0.0412713824429949</v>
      </c>
      <c r="H8" s="29" t="n">
        <f aca="false">H7/G7-1</f>
        <v>0.0340849378630808</v>
      </c>
      <c r="I8" s="29" t="n">
        <f aca="false">I7/H7-1</f>
        <v>0.0268231058515727</v>
      </c>
    </row>
    <row r="9" customFormat="false" ht="15" hidden="false" customHeight="true" outlineLevel="0" collapsed="false">
      <c r="A9" s="13" t="s">
        <v>37</v>
      </c>
      <c r="B9" s="14" t="n">
        <v>8541</v>
      </c>
      <c r="C9" s="14" t="n">
        <v>8643</v>
      </c>
      <c r="D9" s="14" t="n">
        <v>9270</v>
      </c>
      <c r="E9" s="24" t="n">
        <f aca="false">E7*(1-Inputs!B5)</f>
        <v>9641.941595</v>
      </c>
      <c r="F9" s="24" t="n">
        <f aca="false">F7*(1-Inputs!C5)</f>
        <v>9878.74811871675</v>
      </c>
      <c r="G9" s="24" t="n">
        <f aca="false">G7*(1-Inputs!D5)</f>
        <v>10047.2377636292</v>
      </c>
      <c r="H9" s="24" t="n">
        <f aca="false">H7*(1-Inputs!E5)</f>
        <v>10142.3234947244</v>
      </c>
      <c r="I9" s="24" t="n">
        <f aca="false">I7*(1-Inputs!F5)</f>
        <v>10160.3630355164</v>
      </c>
    </row>
    <row r="10" customFormat="false" ht="15" hidden="false" customHeight="true" outlineLevel="0" collapsed="false">
      <c r="A10" s="25" t="s">
        <v>38</v>
      </c>
      <c r="B10" s="17" t="n">
        <v>26316</v>
      </c>
      <c r="C10" s="17" t="n">
        <v>29252</v>
      </c>
      <c r="D10" s="17" t="n">
        <v>32255</v>
      </c>
      <c r="E10" s="26" t="n">
        <f aca="false">E7-E9</f>
        <v>34185.065655</v>
      </c>
      <c r="F10" s="26" t="n">
        <f aca="false">F7-F9</f>
        <v>36068.9175497333</v>
      </c>
      <c r="G10" s="26" t="n">
        <f aca="false">G7-G9</f>
        <v>37796.7515869862</v>
      </c>
      <c r="H10" s="26" t="n">
        <f aca="false">H7-H9</f>
        <v>39332.4252600287</v>
      </c>
      <c r="I10" s="26" t="n">
        <f aca="false">I7-I9</f>
        <v>40641.4521420654</v>
      </c>
    </row>
    <row r="11" customFormat="false" ht="15" hidden="false" customHeight="true" outlineLevel="0" collapsed="false">
      <c r="A11" s="13" t="s">
        <v>107</v>
      </c>
      <c r="B11" s="28" t="n">
        <f aca="false">B10/B7</f>
        <v>0.754970307255358</v>
      </c>
      <c r="C11" s="28" t="n">
        <f aca="false">C10/C7</f>
        <v>0.771922417205436</v>
      </c>
      <c r="D11" s="28" t="n">
        <f aca="false">D10/D7</f>
        <v>0.776760987357014</v>
      </c>
      <c r="E11" s="29" t="n">
        <f aca="false">E10/E7</f>
        <v>0.78</v>
      </c>
      <c r="F11" s="29" t="n">
        <f aca="false">F10/F7</f>
        <v>0.785</v>
      </c>
      <c r="G11" s="29" t="n">
        <f aca="false">G10/G7</f>
        <v>0.79</v>
      </c>
      <c r="H11" s="29" t="n">
        <f aca="false">H10/H7</f>
        <v>0.795</v>
      </c>
      <c r="I11" s="29" t="n">
        <f aca="false">I10/I7</f>
        <v>0.8</v>
      </c>
    </row>
    <row r="12" customFormat="false" ht="15" hidden="false" customHeight="true" outlineLevel="0" collapsed="false">
      <c r="A12" s="13" t="s">
        <v>39</v>
      </c>
      <c r="B12" s="14" t="n">
        <v>4906</v>
      </c>
      <c r="C12" s="14" t="n">
        <v>5493</v>
      </c>
      <c r="D12" s="14" t="n">
        <v>5993</v>
      </c>
      <c r="E12" s="24" t="n">
        <f aca="false">E7*Inputs!B6</f>
        <v>6223.4350295</v>
      </c>
      <c r="F12" s="24" t="n">
        <f aca="false">F7*Inputs!C6</f>
        <v>6478.62085925145</v>
      </c>
      <c r="G12" s="24" t="n">
        <f aca="false">G7*Inputs!D6</f>
        <v>6698.15850908617</v>
      </c>
      <c r="H12" s="24" t="n">
        <f aca="false">H7*Inputs!E6</f>
        <v>6876.99007691068</v>
      </c>
      <c r="I12" s="24" t="n">
        <f aca="false">I7*Inputs!F6</f>
        <v>7010.65049450629</v>
      </c>
    </row>
    <row r="13" customFormat="false" ht="15" hidden="false" customHeight="true" outlineLevel="0" collapsed="false">
      <c r="A13" s="13" t="s">
        <v>40</v>
      </c>
      <c r="B13" s="14" t="n">
        <v>12877</v>
      </c>
      <c r="C13" s="14" t="n">
        <v>13257</v>
      </c>
      <c r="D13" s="14" t="n">
        <v>14345</v>
      </c>
      <c r="E13" s="24" t="n">
        <f aca="false">E7*Inputs!B7</f>
        <v>14682.04742875</v>
      </c>
      <c r="F13" s="24" t="n">
        <f aca="false">F7*Inputs!C7</f>
        <v>15070.8343392516</v>
      </c>
      <c r="G13" s="24" t="n">
        <f aca="false">G7*Inputs!D7</f>
        <v>15405.7645708982</v>
      </c>
      <c r="H13" s="24" t="n">
        <f aca="false">H7*Inputs!E7</f>
        <v>15634.020606502</v>
      </c>
      <c r="I13" s="24" t="n">
        <f aca="false">I7*Inputs!F7</f>
        <v>15748.5627050504</v>
      </c>
    </row>
    <row r="14" customFormat="false" ht="15" hidden="false" customHeight="true" outlineLevel="0" collapsed="false">
      <c r="A14" s="13" t="s">
        <v>41</v>
      </c>
      <c r="B14" s="14" t="n">
        <v>2534</v>
      </c>
      <c r="C14" s="14" t="n">
        <v>2836</v>
      </c>
      <c r="D14" s="14" t="n">
        <v>3000</v>
      </c>
      <c r="E14" s="24" t="n">
        <f aca="false">E7*Inputs!B8</f>
        <v>3111.71751475</v>
      </c>
      <c r="F14" s="24" t="n">
        <f aca="false">F7*Inputs!C8</f>
        <v>3216.3365967915</v>
      </c>
      <c r="G14" s="24" t="n">
        <f aca="false">G7*Inputs!D8</f>
        <v>3301.23526519247</v>
      </c>
      <c r="H14" s="24" t="n">
        <f aca="false">H7*Inputs!E8</f>
        <v>3364.28291532321</v>
      </c>
      <c r="I14" s="24" t="n">
        <f aca="false">I7*Inputs!F8</f>
        <v>3403.72161689798</v>
      </c>
    </row>
    <row r="15" customFormat="false" ht="15" hidden="false" customHeight="true" outlineLevel="0" collapsed="false">
      <c r="A15" s="13" t="s">
        <v>42</v>
      </c>
      <c r="B15" s="14" t="n">
        <v>988</v>
      </c>
      <c r="C15" s="14" t="n">
        <v>461</v>
      </c>
      <c r="D15" s="14" t="n">
        <v>586</v>
      </c>
      <c r="E15" s="24" t="n">
        <f aca="false">E7*Inputs!B9</f>
        <v>438.2700725</v>
      </c>
      <c r="F15" s="24" t="n">
        <f aca="false">F7*Inputs!C9</f>
        <v>275.6859940107</v>
      </c>
      <c r="G15" s="24" t="n">
        <f aca="false">G7*Inputs!D9</f>
        <v>191.375957402462</v>
      </c>
      <c r="H15" s="24" t="n">
        <f aca="false">H7*Inputs!E9</f>
        <v>148.424246264259</v>
      </c>
      <c r="I15" s="24" t="n">
        <f aca="false">I7*Inputs!F9</f>
        <v>101.603630355164</v>
      </c>
    </row>
    <row r="16" customFormat="false" ht="15" hidden="false" customHeight="true" outlineLevel="0" collapsed="false">
      <c r="A16" s="25" t="s">
        <v>43</v>
      </c>
      <c r="B16" s="17" t="n">
        <v>21305</v>
      </c>
      <c r="C16" s="17" t="n">
        <v>22047</v>
      </c>
      <c r="D16" s="17" t="n">
        <v>23924</v>
      </c>
      <c r="E16" s="26" t="n">
        <f aca="false">SUM(E12:E15)</f>
        <v>24455.4700455</v>
      </c>
      <c r="F16" s="26" t="n">
        <f aca="false">SUM(F12:F15)</f>
        <v>25041.4777893053</v>
      </c>
      <c r="G16" s="26" t="n">
        <f aca="false">SUM(G12:G15)</f>
        <v>25596.5343025793</v>
      </c>
      <c r="H16" s="26" t="n">
        <f aca="false">SUM(H12:H15)</f>
        <v>26023.7178450001</v>
      </c>
      <c r="I16" s="26" t="n">
        <f aca="false">SUM(I12:I15)</f>
        <v>26264.5384468098</v>
      </c>
    </row>
    <row r="17" customFormat="false" ht="15" hidden="false" customHeight="true" outlineLevel="0" collapsed="false">
      <c r="A17" s="25" t="s">
        <v>44</v>
      </c>
      <c r="B17" s="17" t="n">
        <v>5011</v>
      </c>
      <c r="C17" s="17" t="n">
        <v>7205</v>
      </c>
      <c r="D17" s="17" t="n">
        <v>8331</v>
      </c>
      <c r="E17" s="26" t="n">
        <f aca="false">E10-E16</f>
        <v>9729.5956095</v>
      </c>
      <c r="F17" s="26" t="n">
        <f aca="false">F10-F16</f>
        <v>11027.439760428</v>
      </c>
      <c r="G17" s="26" t="n">
        <f aca="false">G10-G16</f>
        <v>12200.2172844069</v>
      </c>
      <c r="H17" s="26" t="n">
        <f aca="false">H10-H16</f>
        <v>13308.7074150286</v>
      </c>
      <c r="I17" s="26" t="n">
        <f aca="false">I10-I16</f>
        <v>14376.9136952556</v>
      </c>
    </row>
    <row r="18" customFormat="false" ht="15" hidden="false" customHeight="true" outlineLevel="0" collapsed="false">
      <c r="A18" s="13" t="s">
        <v>128</v>
      </c>
      <c r="B18" s="28" t="n">
        <f aca="false">B17/B7</f>
        <v>0.143758785896664</v>
      </c>
      <c r="C18" s="28" t="n">
        <f aca="false">C17/C7</f>
        <v>0.190130624092888</v>
      </c>
      <c r="D18" s="28" t="n">
        <f aca="false">D17/D7</f>
        <v>0.200626128838049</v>
      </c>
      <c r="E18" s="29" t="n">
        <f aca="false">E17/E7</f>
        <v>0.222</v>
      </c>
      <c r="F18" s="29" t="n">
        <f aca="false">F17/F7</f>
        <v>0.24</v>
      </c>
      <c r="G18" s="29" t="n">
        <f aca="false">G17/G7</f>
        <v>0.255</v>
      </c>
      <c r="H18" s="29" t="n">
        <f aca="false">H17/H7</f>
        <v>0.269</v>
      </c>
      <c r="I18" s="29" t="n">
        <f aca="false">I17/I7</f>
        <v>0.283</v>
      </c>
    </row>
    <row r="19" customFormat="false" ht="15" hidden="false" customHeight="true" outlineLevel="0" collapsed="false">
      <c r="A19" s="13" t="s">
        <v>129</v>
      </c>
      <c r="B19" s="14" t="n">
        <v>-814</v>
      </c>
      <c r="C19" s="14" t="n">
        <v>-1241</v>
      </c>
      <c r="D19" s="14" t="n">
        <v>-2063</v>
      </c>
      <c r="E19" s="24" t="n">
        <f aca="false">-E17*Inputs!B10</f>
        <v>-2189.1590121375</v>
      </c>
      <c r="F19" s="24" t="n">
        <f aca="false">-F17*Inputs!C10</f>
        <v>-2481.1739460963</v>
      </c>
      <c r="G19" s="24" t="n">
        <f aca="false">-G17*Inputs!D10</f>
        <v>-2745.04888899156</v>
      </c>
      <c r="H19" s="24" t="n">
        <f aca="false">-H17*Inputs!E10</f>
        <v>-2994.45916838143</v>
      </c>
      <c r="I19" s="24" t="n">
        <f aca="false">-I17*Inputs!F10</f>
        <v>-3234.80558143252</v>
      </c>
    </row>
    <row r="20" customFormat="false" ht="15" hidden="false" customHeight="true" outlineLevel="0" collapsed="false">
      <c r="A20" s="25" t="s">
        <v>49</v>
      </c>
      <c r="B20" s="17" t="n">
        <v>4136</v>
      </c>
      <c r="C20" s="17" t="n">
        <v>6197</v>
      </c>
      <c r="D20" s="17" t="n">
        <v>7457</v>
      </c>
      <c r="E20" s="26" t="n">
        <f aca="false">E17+E19</f>
        <v>7540.4365973625</v>
      </c>
      <c r="F20" s="26" t="n">
        <f aca="false">F17+F19</f>
        <v>8546.2658143317</v>
      </c>
      <c r="G20" s="26" t="n">
        <f aca="false">G17+G19</f>
        <v>9455.16839541538</v>
      </c>
      <c r="H20" s="26" t="n">
        <f aca="false">H17+H19</f>
        <v>10314.2482466472</v>
      </c>
      <c r="I20" s="26" t="n">
        <f aca="false">I17+I19</f>
        <v>11142.1081138231</v>
      </c>
    </row>
    <row r="21" customFormat="false" ht="18" hidden="false" customHeight="true" outlineLevel="0" collapsed="false">
      <c r="A21" s="11" t="s">
        <v>130</v>
      </c>
      <c r="B21" s="12"/>
      <c r="C21" s="12"/>
      <c r="D21" s="12"/>
      <c r="E21" s="12"/>
      <c r="F21" s="12"/>
      <c r="G21" s="12"/>
      <c r="H21" s="12"/>
      <c r="I21" s="12"/>
    </row>
    <row r="22" customFormat="false" ht="15" hidden="false" customHeight="true" outlineLevel="0" collapsed="false">
      <c r="A22" s="13" t="s">
        <v>79</v>
      </c>
      <c r="B22" s="14" t="n">
        <v>3959</v>
      </c>
      <c r="C22" s="14" t="n">
        <v>3477</v>
      </c>
      <c r="D22" s="14" t="n">
        <v>3631</v>
      </c>
      <c r="E22" s="24" t="n">
        <f aca="false">E7*Inputs!B11</f>
        <v>3725.29561625</v>
      </c>
      <c r="F22" s="24" t="n">
        <f aca="false">F7*Inputs!C11</f>
        <v>3767.7085848129</v>
      </c>
      <c r="G22" s="24" t="n">
        <f aca="false">G7*Inputs!D11</f>
        <v>3827.51914804924</v>
      </c>
      <c r="H22" s="24" t="n">
        <f aca="false">H7*Inputs!E11</f>
        <v>3859.03040287074</v>
      </c>
      <c r="I22" s="24" t="n">
        <f aca="false">I7*Inputs!F11</f>
        <v>3860.93795349622</v>
      </c>
    </row>
    <row r="23" customFormat="false" ht="15" hidden="false" customHeight="true" outlineLevel="0" collapsed="false">
      <c r="A23" s="13" t="s">
        <v>131</v>
      </c>
      <c r="B23" s="14" t="n">
        <v>2787</v>
      </c>
      <c r="C23" s="14" t="n">
        <v>3183</v>
      </c>
      <c r="D23" s="14" t="n">
        <v>3509</v>
      </c>
      <c r="E23" s="24" t="n">
        <f aca="false">E7*Inputs!B12</f>
        <v>3506.16058</v>
      </c>
      <c r="F23" s="24" t="n">
        <f aca="false">F7*Inputs!C12</f>
        <v>3492.0225908022</v>
      </c>
      <c r="G23" s="24" t="n">
        <f aca="false">G7*Inputs!D12</f>
        <v>3444.76723324431</v>
      </c>
      <c r="H23" s="24" t="n">
        <f aca="false">H7*Inputs!E12</f>
        <v>3364.28291532321</v>
      </c>
      <c r="I23" s="24" t="n">
        <f aca="false">I7*Inputs!F12</f>
        <v>3251.31617136524</v>
      </c>
    </row>
    <row r="24" customFormat="false" ht="15" hidden="false" customHeight="true" outlineLevel="0" collapsed="false">
      <c r="A24" s="13" t="s">
        <v>132</v>
      </c>
      <c r="B24" s="14" t="n">
        <v>-2050</v>
      </c>
      <c r="C24" s="14" t="n">
        <v>-1981</v>
      </c>
      <c r="D24" s="14" t="n">
        <v>-781</v>
      </c>
      <c r="E24" s="24" t="n">
        <f aca="false">E7*Inputs!B14</f>
        <v>-438.2700725</v>
      </c>
      <c r="F24" s="24" t="n">
        <f aca="false">F7*Inputs!C14</f>
        <v>-367.5813253476</v>
      </c>
      <c r="G24" s="24" t="n">
        <f aca="false">G7*Inputs!D14</f>
        <v>-287.063936103693</v>
      </c>
      <c r="H24" s="24" t="n">
        <f aca="false">H7*Inputs!E14</f>
        <v>-197.898995019012</v>
      </c>
      <c r="I24" s="24" t="n">
        <f aca="false">I7*Inputs!F14</f>
        <v>-152.405445532745</v>
      </c>
    </row>
    <row r="25" customFormat="false" ht="15" hidden="false" customHeight="true" outlineLevel="0" collapsed="false">
      <c r="A25" s="25" t="s">
        <v>133</v>
      </c>
      <c r="B25" s="17" t="n">
        <v>10234</v>
      </c>
      <c r="C25" s="17" t="n">
        <v>13092</v>
      </c>
      <c r="D25" s="17" t="n">
        <v>14996</v>
      </c>
      <c r="E25" s="26" t="n">
        <f aca="false">E20+E22+E23+E24</f>
        <v>14333.6227211125</v>
      </c>
      <c r="F25" s="26" t="n">
        <f aca="false">F20+F22+F23+F24</f>
        <v>15438.4156645992</v>
      </c>
      <c r="G25" s="26" t="n">
        <f aca="false">G20+G22+G23+G24</f>
        <v>16440.3908406052</v>
      </c>
      <c r="H25" s="26" t="n">
        <f aca="false">H20+H22+H23+H24</f>
        <v>17339.6625698221</v>
      </c>
      <c r="I25" s="26" t="n">
        <f aca="false">I20+I22+I23+I24</f>
        <v>18101.9567931518</v>
      </c>
    </row>
    <row r="26" customFormat="false" ht="15" hidden="false" customHeight="true" outlineLevel="0" collapsed="false">
      <c r="A26" s="13" t="s">
        <v>89</v>
      </c>
      <c r="B26" s="14" t="n">
        <v>-736</v>
      </c>
      <c r="C26" s="14" t="n">
        <v>-658</v>
      </c>
      <c r="D26" s="14" t="n">
        <v>-594</v>
      </c>
      <c r="E26" s="24" t="n">
        <f aca="false">-E7*Inputs!B13</f>
        <v>-657.40510875</v>
      </c>
      <c r="F26" s="24" t="n">
        <f aca="false">-F7*Inputs!C13</f>
        <v>-689.21498502675</v>
      </c>
      <c r="G26" s="24" t="n">
        <f aca="false">-G7*Inputs!D13</f>
        <v>-717.659840259232</v>
      </c>
      <c r="H26" s="24" t="n">
        <f aca="false">-H7*Inputs!E13</f>
        <v>-742.121231321296</v>
      </c>
      <c r="I26" s="24" t="n">
        <f aca="false">-I7*Inputs!F13</f>
        <v>-762.027227663727</v>
      </c>
    </row>
    <row r="27" customFormat="false" ht="15" hidden="false" customHeight="true" outlineLevel="0" collapsed="false">
      <c r="A27" s="25" t="s">
        <v>90</v>
      </c>
      <c r="B27" s="17" t="n">
        <v>9498</v>
      </c>
      <c r="C27" s="17" t="n">
        <v>12434</v>
      </c>
      <c r="D27" s="17" t="n">
        <v>14402</v>
      </c>
      <c r="E27" s="26" t="n">
        <f aca="false">E25+E26</f>
        <v>13676.2176123625</v>
      </c>
      <c r="F27" s="26" t="n">
        <f aca="false">F25+F26</f>
        <v>14749.2006795724</v>
      </c>
      <c r="G27" s="26" t="n">
        <f aca="false">G25+G26</f>
        <v>15722.731000346</v>
      </c>
      <c r="H27" s="26" t="n">
        <f aca="false">H25+H26</f>
        <v>16597.5413385008</v>
      </c>
      <c r="I27" s="26" t="n">
        <f aca="false">I25+I26</f>
        <v>17339.9295654881</v>
      </c>
    </row>
    <row r="28" customFormat="false" ht="18" hidden="false" customHeight="true" outlineLevel="0" collapsed="false">
      <c r="A28" s="11" t="s">
        <v>134</v>
      </c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true" outlineLevel="0" collapsed="false">
      <c r="A29" s="13" t="s">
        <v>52</v>
      </c>
      <c r="B29" s="14" t="n">
        <v>8472</v>
      </c>
      <c r="C29" s="14" t="n">
        <v>8848</v>
      </c>
      <c r="D29" s="14" t="n">
        <v>7327</v>
      </c>
      <c r="E29" s="24" t="n">
        <f aca="false">D29+E27</f>
        <v>21003.2176123625</v>
      </c>
      <c r="F29" s="24" t="n">
        <f aca="false">E29+F27</f>
        <v>35752.418291935</v>
      </c>
      <c r="G29" s="24" t="n">
        <f aca="false">F29+G27</f>
        <v>51475.149292281</v>
      </c>
      <c r="H29" s="24" t="n">
        <f aca="false">G29+H27</f>
        <v>68072.6906307818</v>
      </c>
      <c r="I29" s="24" t="n">
        <f aca="false">H29+I27</f>
        <v>85412.6201962699</v>
      </c>
    </row>
    <row r="30" customFormat="false" ht="15" hidden="false" customHeight="true" outlineLevel="0" collapsed="false">
      <c r="A30" s="13" t="s">
        <v>54</v>
      </c>
      <c r="B30" s="14" t="n">
        <v>5722</v>
      </c>
      <c r="C30" s="14" t="n">
        <v>5184</v>
      </c>
      <c r="D30" s="14" t="n">
        <v>2238</v>
      </c>
      <c r="E30" s="24" t="n">
        <f aca="false">D30</f>
        <v>2238</v>
      </c>
      <c r="F30" s="24" t="n">
        <f aca="false">E30</f>
        <v>2238</v>
      </c>
      <c r="G30" s="24" t="n">
        <f aca="false">F30</f>
        <v>2238</v>
      </c>
      <c r="H30" s="24" t="n">
        <f aca="false">G30</f>
        <v>2238</v>
      </c>
      <c r="I30" s="24" t="n">
        <f aca="false">H30</f>
        <v>2238</v>
      </c>
    </row>
    <row r="31" customFormat="false" ht="15" hidden="false" customHeight="true" outlineLevel="0" collapsed="false">
      <c r="A31" s="13" t="s">
        <v>55</v>
      </c>
      <c r="B31" s="14" t="n">
        <v>11414</v>
      </c>
      <c r="C31" s="14" t="n">
        <v>11945</v>
      </c>
      <c r="D31" s="14" t="n">
        <v>14339</v>
      </c>
      <c r="E31" s="24" t="n">
        <f aca="false">E7*32%</f>
        <v>14024.64232</v>
      </c>
      <c r="F31" s="24" t="n">
        <f aca="false">F7*31.5%</f>
        <v>14473.5146855618</v>
      </c>
      <c r="G31" s="24" t="n">
        <f aca="false">G7*31%</f>
        <v>14831.6366986908</v>
      </c>
      <c r="H31" s="24" t="n">
        <f aca="false">H7*30.5%</f>
        <v>15089.7983701997</v>
      </c>
      <c r="I31" s="24" t="n">
        <f aca="false">I7*30%</f>
        <v>15240.5445532745</v>
      </c>
    </row>
    <row r="32" customFormat="false" ht="15" hidden="false" customHeight="true" outlineLevel="0" collapsed="false">
      <c r="A32" s="13" t="s">
        <v>69</v>
      </c>
      <c r="B32" s="14" t="n">
        <v>19003</v>
      </c>
      <c r="C32" s="14" t="n">
        <v>20743</v>
      </c>
      <c r="D32" s="14" t="n">
        <v>24317</v>
      </c>
      <c r="E32" s="24" t="n">
        <f aca="false">E7*58%</f>
        <v>25419.664205</v>
      </c>
      <c r="F32" s="24" t="n">
        <f aca="false">F7*58.5%</f>
        <v>26879.3844160432</v>
      </c>
      <c r="G32" s="24" t="n">
        <f aca="false">G7*59%</f>
        <v>28227.9537168631</v>
      </c>
      <c r="H32" s="24" t="n">
        <f aca="false">H7*59.5%</f>
        <v>29437.4755090781</v>
      </c>
      <c r="I32" s="24" t="n">
        <f aca="false">I7*60%</f>
        <v>30481.0891065491</v>
      </c>
    </row>
    <row r="33" customFormat="false" ht="15" hidden="false" customHeight="true" outlineLevel="0" collapsed="false">
      <c r="A33" s="13" t="s">
        <v>135</v>
      </c>
      <c r="B33" s="14" t="n">
        <v>9426</v>
      </c>
      <c r="C33" s="14" t="n">
        <v>8433</v>
      </c>
      <c r="D33" s="14" t="n">
        <v>14439</v>
      </c>
      <c r="E33" s="24" t="n">
        <f aca="false">D33</f>
        <v>14439</v>
      </c>
      <c r="F33" s="24" t="n">
        <f aca="false">E33</f>
        <v>14439</v>
      </c>
      <c r="G33" s="24" t="n">
        <f aca="false">F33</f>
        <v>14439</v>
      </c>
      <c r="H33" s="24" t="n">
        <f aca="false">G33</f>
        <v>14439</v>
      </c>
      <c r="I33" s="24" t="n">
        <f aca="false">H33</f>
        <v>14439</v>
      </c>
    </row>
    <row r="34" customFormat="false" ht="15" hidden="false" customHeight="true" outlineLevel="0" collapsed="false">
      <c r="A34" s="13" t="s">
        <v>76</v>
      </c>
      <c r="B34" s="14" t="n">
        <v>59646</v>
      </c>
      <c r="C34" s="14" t="n">
        <v>61173</v>
      </c>
      <c r="D34" s="14" t="n">
        <v>59142</v>
      </c>
      <c r="E34" s="24" t="n">
        <f aca="false">D34+E20</f>
        <v>66682.4365973625</v>
      </c>
      <c r="F34" s="24" t="n">
        <f aca="false">E34+F20</f>
        <v>75228.7024116942</v>
      </c>
      <c r="G34" s="24" t="n">
        <f aca="false">F34+G20</f>
        <v>84683.8708071096</v>
      </c>
      <c r="H34" s="24" t="n">
        <f aca="false">G34+H20</f>
        <v>94998.1190537567</v>
      </c>
      <c r="I34" s="24" t="n">
        <f aca="false">H34+I20</f>
        <v>106140.22716758</v>
      </c>
    </row>
    <row r="35" customFormat="false" ht="15" hidden="false" customHeight="true" outlineLevel="0" collapsed="false">
      <c r="A35" s="25" t="s">
        <v>136</v>
      </c>
      <c r="B35" s="17" t="n">
        <v>0</v>
      </c>
      <c r="C35" s="17" t="n">
        <v>0</v>
      </c>
      <c r="D35" s="17" t="n">
        <v>0</v>
      </c>
      <c r="E35" s="26" t="n">
        <f aca="false">E32+E33+E34-E29-E30-E31</f>
        <v>69275.24087</v>
      </c>
      <c r="F35" s="26" t="n">
        <f aca="false">F32+F33+F34-F29-F30-F31</f>
        <v>64083.1538502407</v>
      </c>
      <c r="G35" s="26" t="n">
        <f aca="false">G32+G33+G34-G29-G30-G31</f>
        <v>58806.0385330009</v>
      </c>
      <c r="H35" s="26" t="n">
        <f aca="false">H32+H33+H34-H29-H30-H31</f>
        <v>53474.1055618534</v>
      </c>
      <c r="I35" s="26" t="n">
        <f aca="false">I32+I33+I34-I29-I30-I31</f>
        <v>48169.1515245845</v>
      </c>
    </row>
    <row r="36" customFormat="false" ht="15" hidden="false" customHeight="true" outlineLevel="0" collapsed="false">
      <c r="A36" s="13" t="s">
        <v>137</v>
      </c>
      <c r="B36" s="30" t="n">
        <v>0</v>
      </c>
      <c r="C36" s="30" t="n">
        <v>0</v>
      </c>
      <c r="D36" s="30" t="n">
        <v>0</v>
      </c>
      <c r="E36" s="15" t="n">
        <f aca="false">E29+E30+E31+E35-E32-E33-E34</f>
        <v>0</v>
      </c>
      <c r="F36" s="15" t="n">
        <f aca="false">F29+F30+F31+F35-F32-F33-F34</f>
        <v>0</v>
      </c>
      <c r="G36" s="15" t="n">
        <f aca="false">G29+G30+G31+G35-G32-G33-G34</f>
        <v>0</v>
      </c>
      <c r="H36" s="15" t="n">
        <f aca="false">H29+H30+H31+H35-H32-H33-H34</f>
        <v>0</v>
      </c>
      <c r="I36" s="15" t="n">
        <f aca="false">I29+I30+I31+I35-I32-I33-I34</f>
        <v>0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48"/>
  </cols>
  <sheetData>
    <row r="1" customFormat="false" ht="18" hidden="false" customHeight="true" outlineLevel="0" collapsed="false">
      <c r="A1" s="9" t="s">
        <v>138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/>
    <row r="3" customFormat="false" ht="18" hidden="false" customHeight="true" outlineLevel="0" collapsed="false">
      <c r="A3" s="19" t="s">
        <v>25</v>
      </c>
      <c r="B3" s="19" t="s">
        <v>99</v>
      </c>
      <c r="C3" s="19" t="s">
        <v>100</v>
      </c>
      <c r="D3" s="19" t="s">
        <v>101</v>
      </c>
      <c r="E3" s="19" t="s">
        <v>102</v>
      </c>
      <c r="F3" s="19" t="s">
        <v>103</v>
      </c>
    </row>
    <row r="4" customFormat="false" ht="15" hidden="false" customHeight="true" outlineLevel="0" collapsed="false">
      <c r="A4" s="13" t="s">
        <v>139</v>
      </c>
      <c r="B4" s="24" t="n">
        <f aca="false">'Operating Model'!E27</f>
        <v>13676.2176123625</v>
      </c>
      <c r="C4" s="24" t="n">
        <f aca="false">'Operating Model'!F27</f>
        <v>14749.2006795724</v>
      </c>
      <c r="D4" s="24" t="n">
        <f aca="false">'Operating Model'!G27</f>
        <v>15722.731000346</v>
      </c>
      <c r="E4" s="24" t="n">
        <f aca="false">'Operating Model'!H27</f>
        <v>16597.5413385008</v>
      </c>
      <c r="F4" s="24" t="n">
        <f aca="false">'Operating Model'!I27</f>
        <v>17339.9295654881</v>
      </c>
    </row>
    <row r="5" customFormat="false" ht="15" hidden="false" customHeight="true" outlineLevel="0" collapsed="false">
      <c r="A5" s="13" t="s">
        <v>140</v>
      </c>
      <c r="B5" s="31" t="n">
        <v>0.5</v>
      </c>
      <c r="C5" s="31" t="n">
        <v>1.5</v>
      </c>
      <c r="D5" s="31" t="n">
        <v>2.5</v>
      </c>
      <c r="E5" s="31" t="n">
        <v>3.5</v>
      </c>
      <c r="F5" s="31" t="n">
        <v>4.5</v>
      </c>
    </row>
    <row r="6" customFormat="false" ht="15" hidden="false" customHeight="true" outlineLevel="0" collapsed="false">
      <c r="A6" s="13" t="s">
        <v>121</v>
      </c>
      <c r="B6" s="29" t="n">
        <f aca="false">Inputs!B15</f>
        <v>0.085</v>
      </c>
      <c r="C6" s="29" t="n">
        <f aca="false">Inputs!B15</f>
        <v>0.085</v>
      </c>
      <c r="D6" s="29" t="n">
        <f aca="false">Inputs!B15</f>
        <v>0.085</v>
      </c>
      <c r="E6" s="29" t="n">
        <f aca="false">Inputs!B15</f>
        <v>0.085</v>
      </c>
      <c r="F6" s="29" t="n">
        <f aca="false">Inputs!B15</f>
        <v>0.085</v>
      </c>
    </row>
    <row r="7" customFormat="false" ht="15" hidden="false" customHeight="true" outlineLevel="0" collapsed="false">
      <c r="A7" s="13" t="s">
        <v>141</v>
      </c>
      <c r="B7" s="29" t="n">
        <f aca="false">1/(1+B6)^B5</f>
        <v>0.960030721474639</v>
      </c>
      <c r="C7" s="29" t="n">
        <f aca="false">1/(1+C6)^C5</f>
        <v>0.88482094145128</v>
      </c>
      <c r="D7" s="29" t="n">
        <f aca="false">1/(1+D6)^D5</f>
        <v>0.815503171844498</v>
      </c>
      <c r="E7" s="29" t="n">
        <f aca="false">1/(1+E6)^E5</f>
        <v>0.751615826584791</v>
      </c>
      <c r="F7" s="29" t="n">
        <f aca="false">1/(1+F6)^F5</f>
        <v>0.692733480723309</v>
      </c>
    </row>
    <row r="8" customFormat="false" ht="15" hidden="false" customHeight="true" outlineLevel="0" collapsed="false">
      <c r="A8" s="13" t="s">
        <v>142</v>
      </c>
      <c r="B8" s="24" t="n">
        <f aca="false">B4*B7</f>
        <v>13129.5890614405</v>
      </c>
      <c r="C8" s="24" t="n">
        <f aca="false">C4*C7</f>
        <v>13050.4016309532</v>
      </c>
      <c r="D8" s="24" t="n">
        <f aca="false">D4*D7</f>
        <v>12821.93700084</v>
      </c>
      <c r="E8" s="24" t="n">
        <f aca="false">E4*E7</f>
        <v>12474.9747524125</v>
      </c>
      <c r="F8" s="24" t="n">
        <f aca="false">F4*F7</f>
        <v>12011.9497633976</v>
      </c>
    </row>
    <row r="9" customFormat="false" ht="15" hidden="false" customHeight="true" outlineLevel="0" collapsed="false">
      <c r="A9" s="13" t="s">
        <v>143</v>
      </c>
      <c r="B9" s="32"/>
      <c r="C9" s="32"/>
      <c r="D9" s="32"/>
      <c r="E9" s="32"/>
      <c r="F9" s="24" t="n">
        <f aca="false">F4*(1+Inputs!B16)/(Inputs!B15-Inputs!B16)</f>
        <v>324729.590044595</v>
      </c>
    </row>
    <row r="10" customFormat="false" ht="15" hidden="false" customHeight="true" outlineLevel="0" collapsed="false">
      <c r="A10" s="13" t="s">
        <v>144</v>
      </c>
      <c r="B10" s="32"/>
      <c r="C10" s="32"/>
      <c r="D10" s="32"/>
      <c r="E10" s="32"/>
      <c r="F10" s="24" t="n">
        <f aca="false">F9*F7</f>
        <v>224951.059205446</v>
      </c>
    </row>
    <row r="11" customFormat="false" ht="15" hidden="false" customHeight="true" outlineLevel="0" collapsed="false">
      <c r="A11" s="13" t="s">
        <v>145</v>
      </c>
      <c r="B11" s="32"/>
      <c r="C11" s="32"/>
      <c r="D11" s="32"/>
      <c r="E11" s="32"/>
      <c r="F11" s="24" t="n">
        <f aca="false">SUM(B8:F8)+F10</f>
        <v>288439.91141449</v>
      </c>
    </row>
    <row r="12" customFormat="false" ht="15" hidden="false" customHeight="true" outlineLevel="0" collapsed="false">
      <c r="A12" s="13" t="s">
        <v>146</v>
      </c>
      <c r="B12" s="32"/>
      <c r="C12" s="32"/>
      <c r="D12" s="32"/>
      <c r="E12" s="32"/>
      <c r="F12" s="24" t="n">
        <f aca="false">'Operating Model'!D32</f>
        <v>24317</v>
      </c>
    </row>
    <row r="13" customFormat="false" ht="15" hidden="false" customHeight="true" outlineLevel="0" collapsed="false">
      <c r="A13" s="13" t="s">
        <v>147</v>
      </c>
      <c r="B13" s="32"/>
      <c r="C13" s="32"/>
      <c r="D13" s="32"/>
      <c r="E13" s="32"/>
      <c r="F13" s="24" t="n">
        <f aca="false">'Operating Model'!D28+'Operating Model'!D29</f>
        <v>7327</v>
      </c>
    </row>
    <row r="14" customFormat="false" ht="15" hidden="false" customHeight="true" outlineLevel="0" collapsed="false">
      <c r="A14" s="13" t="s">
        <v>148</v>
      </c>
      <c r="B14" s="32"/>
      <c r="C14" s="32"/>
      <c r="D14" s="32"/>
      <c r="E14" s="32"/>
      <c r="F14" s="24" t="n">
        <f aca="false">F11-F12+F13</f>
        <v>271449.91141449</v>
      </c>
    </row>
    <row r="15" customFormat="false" ht="15" hidden="false" customHeight="true" outlineLevel="0" collapsed="false">
      <c r="A15" s="13" t="s">
        <v>50</v>
      </c>
      <c r="B15" s="32"/>
      <c r="C15" s="32"/>
      <c r="D15" s="32"/>
      <c r="E15" s="32"/>
      <c r="F15" s="24" t="n">
        <f aca="false">Inputs!B17</f>
        <v>930</v>
      </c>
    </row>
    <row r="16" customFormat="false" ht="15" hidden="false" customHeight="true" outlineLevel="0" collapsed="false">
      <c r="A16" s="13" t="s">
        <v>149</v>
      </c>
      <c r="B16" s="32"/>
      <c r="C16" s="32"/>
      <c r="D16" s="32"/>
      <c r="E16" s="32"/>
      <c r="F16" s="24" t="n">
        <f aca="false">F14/F15</f>
        <v>291.881625176871</v>
      </c>
    </row>
    <row r="17" customFormat="false" ht="15" hidden="false" customHeight="true" outlineLevel="0" collapsed="false">
      <c r="A17" s="13" t="s">
        <v>125</v>
      </c>
      <c r="B17" s="32"/>
      <c r="C17" s="32"/>
      <c r="D17" s="32"/>
      <c r="E17" s="32"/>
      <c r="F17" s="24" t="n">
        <f aca="false">Inputs!B18</f>
        <v>170</v>
      </c>
    </row>
    <row r="18" customFormat="false" ht="15" hidden="false" customHeight="true" outlineLevel="0" collapsed="false">
      <c r="A18" s="13" t="s">
        <v>150</v>
      </c>
      <c r="B18" s="32"/>
      <c r="C18" s="32"/>
      <c r="D18" s="32"/>
      <c r="E18" s="32"/>
      <c r="F18" s="29" t="n">
        <f aca="false">F16/F17-1</f>
        <v>0.716950736334533</v>
      </c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8" hidden="false" customHeight="true" outlineLevel="0" collapsed="false">
      <c r="A21" s="33" t="s">
        <v>151</v>
      </c>
      <c r="B21" s="33"/>
      <c r="C21" s="33"/>
      <c r="D21" s="33"/>
      <c r="E21" s="33"/>
      <c r="F21" s="33"/>
    </row>
    <row r="22" customFormat="false" ht="15" hidden="false" customHeight="true" outlineLevel="0" collapsed="false">
      <c r="B22" s="34" t="n">
        <v>0.02</v>
      </c>
      <c r="C22" s="34" t="n">
        <v>0.025</v>
      </c>
      <c r="D22" s="34" t="n">
        <v>0.03</v>
      </c>
      <c r="E22" s="34" t="n">
        <v>0.035</v>
      </c>
      <c r="F22" s="34" t="n">
        <v>0.04</v>
      </c>
    </row>
    <row r="23" customFormat="false" ht="60" hidden="false" customHeight="true" outlineLevel="0" collapsed="false">
      <c r="A23" s="34" t="n">
        <v>0.075</v>
      </c>
      <c r="B23" s="35" t="n">
        <f aca="false">(SUM($B$8:$F$8)+('Operating Model'!$I$27*(1+B$22)/($A23-B$22))/(1+$A23)^4.5-'Operating Model'!$D$32+'Operating Model'!$D$28+'Operating Model'!$D$29)/Inputs!$B$17</f>
        <v>299.724773141697</v>
      </c>
      <c r="C23" s="35" t="n">
        <f aca="false">(SUM($B$8:$F$8)+('Operating Model'!$I$27*(1+C$22)/($A23-C$22))/(1+$A23)^4.5-'Operating Model'!$D$32+'Operating Model'!$D$28+'Operating Model'!$D$29)/Inputs!$B$17</f>
        <v>326.043935678455</v>
      </c>
      <c r="D23" s="35" t="n">
        <f aca="false">(SUM($B$8:$F$8)+('Operating Model'!$I$27*(1+D$22)/($A23-D$22))/(1+$A23)^4.5-'Operating Model'!$D$32+'Operating Model'!$D$28+'Operating Model'!$D$29)/Inputs!$B$17</f>
        <v>358.211801001159</v>
      </c>
      <c r="E23" s="35" t="n">
        <f aca="false">(SUM($B$8:$F$8)+('Operating Model'!$I$27*(1+E$22)/($A23-E$22))/(1+$A23)^4.5-'Operating Model'!$D$32+'Operating Model'!$D$28+'Operating Model'!$D$29)/Inputs!$B$17</f>
        <v>398.42163265454</v>
      </c>
      <c r="F23" s="35" t="n">
        <f aca="false">(SUM($B$8:$F$8)+('Operating Model'!$I$27*(1+F$22)/($A23-F$22))/(1+$A23)^4.5-'Operating Model'!$D$32+'Operating Model'!$D$28+'Operating Model'!$D$29)/Inputs!$B$17</f>
        <v>450.119987637458</v>
      </c>
    </row>
    <row r="24" customFormat="false" ht="60" hidden="false" customHeight="true" outlineLevel="0" collapsed="false">
      <c r="A24" s="34" t="n">
        <v>0.08</v>
      </c>
      <c r="B24" s="35" t="n">
        <f aca="false">(SUM($B$8:$F$8)+('Operating Model'!$I$27*(1+B$22)/($A24-B$22))/(1+$A24)^4.5-'Operating Model'!$D$32+'Operating Model'!$D$28+'Operating Model'!$D$29)/Inputs!$B$17</f>
        <v>274.18368898912</v>
      </c>
      <c r="C24" s="35" t="n">
        <f aca="false">(SUM($B$8:$F$8)+('Operating Model'!$I$27*(1+C$22)/($A24-C$22))/(1+$A24)^4.5-'Operating Model'!$D$32+'Operating Model'!$D$28+'Operating Model'!$D$29)/Inputs!$B$17</f>
        <v>295.762986406836</v>
      </c>
      <c r="D24" s="35" t="n">
        <f aca="false">(SUM($B$8:$F$8)+('Operating Model'!$I$27*(1+D$22)/($A24-D$22))/(1+$A24)^4.5-'Operating Model'!$D$32+'Operating Model'!$D$28+'Operating Model'!$D$29)/Inputs!$B$17</f>
        <v>321.658143308096</v>
      </c>
      <c r="E24" s="35" t="n">
        <f aca="false">(SUM($B$8:$F$8)+('Operating Model'!$I$27*(1+E$22)/($A24-E$22))/(1+$A24)^4.5-'Operating Model'!$D$32+'Operating Model'!$D$28+'Operating Model'!$D$29)/Inputs!$B$17</f>
        <v>353.307779520747</v>
      </c>
      <c r="F24" s="35" t="n">
        <f aca="false">(SUM($B$8:$F$8)+('Operating Model'!$I$27*(1+F$22)/($A24-F$22))/(1+$A24)^4.5-'Operating Model'!$D$32+'Operating Model'!$D$28+'Operating Model'!$D$29)/Inputs!$B$17</f>
        <v>392.869824786561</v>
      </c>
    </row>
    <row r="25" customFormat="false" ht="60" hidden="false" customHeight="true" outlineLevel="0" collapsed="false">
      <c r="A25" s="34" t="n">
        <v>0.085</v>
      </c>
      <c r="B25" s="35" t="n">
        <f aca="false">(SUM($B$8:$F$8)+('Operating Model'!$I$27*(1+B$22)/($A25-B$22))/(1+$A25)^4.5-'Operating Model'!$D$32+'Operating Model'!$D$28+'Operating Model'!$D$29)/Inputs!$B$17</f>
        <v>252.681789119163</v>
      </c>
      <c r="C25" s="35" t="n">
        <f aca="false">(SUM($B$8:$F$8)+('Operating Model'!$I$27*(1+C$22)/($A25-C$22))/(1+$A25)^4.5-'Operating Model'!$D$32+'Operating Model'!$D$28+'Operating Model'!$D$29)/Inputs!$B$17</f>
        <v>270.648380645612</v>
      </c>
      <c r="D25" s="35" t="n">
        <f aca="false">(SUM($B$8:$F$8)+('Operating Model'!$I$27*(1+D$22)/($A25-D$22))/(1+$A25)^4.5-'Operating Model'!$D$32+'Operating Model'!$D$28+'Operating Model'!$D$29)/Inputs!$B$17</f>
        <v>291.881625176871</v>
      </c>
      <c r="E25" s="35" t="n">
        <f aca="false">(SUM($B$8:$F$8)+('Operating Model'!$I$27*(1+E$22)/($A25-E$22))/(1+$A25)^4.5-'Operating Model'!$D$32+'Operating Model'!$D$28+'Operating Model'!$D$29)/Inputs!$B$17</f>
        <v>317.361518614381</v>
      </c>
      <c r="F25" s="35" t="n">
        <f aca="false">(SUM($B$8:$F$8)+('Operating Model'!$I$27*(1+F$22)/($A25-F$22))/(1+$A25)^4.5-'Operating Model'!$D$32+'Operating Model'!$D$28+'Operating Model'!$D$29)/Inputs!$B$17</f>
        <v>348.50361059356</v>
      </c>
    </row>
    <row r="26" customFormat="false" ht="60" hidden="false" customHeight="true" outlineLevel="0" collapsed="false">
      <c r="A26" s="34" t="n">
        <v>0.09</v>
      </c>
      <c r="B26" s="35" t="n">
        <f aca="false">(SUM($B$8:$F$8)+('Operating Model'!$I$27*(1+B$22)/($A26-B$22))/(1+$A26)^4.5-'Operating Model'!$D$32+'Operating Model'!$D$28+'Operating Model'!$D$29)/Inputs!$B$17</f>
        <v>234.350518748896</v>
      </c>
      <c r="C26" s="35" t="n">
        <f aca="false">(SUM($B$8:$F$8)+('Operating Model'!$I$27*(1+C$22)/($A26-C$22))/(1+$A26)^4.5-'Operating Model'!$D$32+'Operating Model'!$D$28+'Operating Model'!$D$29)/Inputs!$B$17</f>
        <v>249.504622119685</v>
      </c>
      <c r="D26" s="35" t="n">
        <f aca="false">(SUM($B$8:$F$8)+('Operating Model'!$I$27*(1+D$22)/($A26-D$22))/(1+$A26)^4.5-'Operating Model'!$D$32+'Operating Model'!$D$28+'Operating Model'!$D$29)/Inputs!$B$17</f>
        <v>267.184409385606</v>
      </c>
      <c r="E26" s="35" t="n">
        <f aca="false">(SUM($B$8:$F$8)+('Operating Model'!$I$27*(1+E$22)/($A26-E$22))/(1+$A26)^4.5-'Operating Model'!$D$32+'Operating Model'!$D$28+'Operating Model'!$D$29)/Inputs!$B$17</f>
        <v>288.078703427149</v>
      </c>
      <c r="F26" s="35" t="n">
        <f aca="false">(SUM($B$8:$F$8)+('Operating Model'!$I$27*(1+F$22)/($A26-F$22))/(1+$A26)^4.5-'Operating Model'!$D$32+'Operating Model'!$D$28+'Operating Model'!$D$29)/Inputs!$B$17</f>
        <v>313.151856277</v>
      </c>
    </row>
    <row r="27" customFormat="false" ht="60" hidden="false" customHeight="true" outlineLevel="0" collapsed="false">
      <c r="A27" s="34" t="n">
        <v>0.095</v>
      </c>
      <c r="B27" s="35" t="n">
        <f aca="false">(SUM($B$8:$F$8)+('Operating Model'!$I$27*(1+B$22)/($A27-B$22))/(1+$A27)^4.5-'Operating Model'!$D$32+'Operating Model'!$D$28+'Operating Model'!$D$29)/Inputs!$B$17</f>
        <v>218.55303331443</v>
      </c>
      <c r="C27" s="35" t="n">
        <f aca="false">(SUM($B$8:$F$8)+('Operating Model'!$I$27*(1+C$22)/($A27-C$22))/(1+$A27)^4.5-'Operating Model'!$D$32+'Operating Model'!$D$28+'Operating Model'!$D$29)/Inputs!$B$17</f>
        <v>231.477887859989</v>
      </c>
      <c r="D27" s="35" t="n">
        <f aca="false">(SUM($B$8:$F$8)+('Operating Model'!$I$27*(1+D$22)/($A27-D$22))/(1+$A27)^4.5-'Operating Model'!$D$32+'Operating Model'!$D$28+'Operating Model'!$D$29)/Inputs!$B$17</f>
        <v>246.391181566404</v>
      </c>
      <c r="E27" s="35" t="n">
        <f aca="false">(SUM($B$8:$F$8)+('Operating Model'!$I$27*(1+E$22)/($A27-E$22))/(1+$A27)^4.5-'Operating Model'!$D$32+'Operating Model'!$D$28+'Operating Model'!$D$29)/Inputs!$B$17</f>
        <v>263.790024223888</v>
      </c>
      <c r="F27" s="35" t="n">
        <f aca="false">(SUM($B$8:$F$8)+('Operating Model'!$I$27*(1+F$22)/($A27-F$22))/(1+$A27)^4.5-'Operating Model'!$D$32+'Operating Model'!$D$28+'Operating Model'!$D$29)/Inputs!$B$17</f>
        <v>284.352292819096</v>
      </c>
    </row>
  </sheetData>
  <mergeCells count="2">
    <mergeCell ref="A1:H1"/>
    <mergeCell ref="A21:F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48"/>
  </cols>
  <sheetData>
    <row r="1" customFormat="false" ht="18" hidden="false" customHeight="true" outlineLevel="0" collapsed="false">
      <c r="A1" s="18" t="s">
        <v>152</v>
      </c>
      <c r="B1" s="18"/>
      <c r="C1" s="18"/>
      <c r="D1" s="18"/>
      <c r="E1" s="18"/>
    </row>
    <row r="2" customFormat="false" ht="15" hidden="false" customHeight="true" outlineLevel="0" collapsed="false"/>
    <row r="3" customFormat="false" ht="18" hidden="false" customHeight="true" outlineLevel="0" collapsed="false">
      <c r="A3" s="19" t="s">
        <v>153</v>
      </c>
      <c r="B3" s="19" t="s">
        <v>26</v>
      </c>
      <c r="C3" s="19" t="s">
        <v>27</v>
      </c>
      <c r="D3" s="19" t="s">
        <v>28</v>
      </c>
      <c r="E3" s="19" t="s">
        <v>154</v>
      </c>
    </row>
    <row r="4" customFormat="false" ht="30" hidden="false" customHeight="true" outlineLevel="0" collapsed="false">
      <c r="A4" s="13" t="s">
        <v>155</v>
      </c>
      <c r="B4" s="15" t="n">
        <f aca="false">'Historical Actuals'!B7-'Operating Model'!B7</f>
        <v>0</v>
      </c>
      <c r="C4" s="15" t="n">
        <f aca="false">'Historical Actuals'!C7-'Operating Model'!C7</f>
        <v>0</v>
      </c>
      <c r="D4" s="15" t="n">
        <f aca="false">'Historical Actuals'!D7-'Operating Model'!D7</f>
        <v>0</v>
      </c>
      <c r="E4" s="15" t="str">
        <f aca="false">IF(AND(ABS(B4)&lt;0.1,ABS(C4)&lt;0.1,ABS(D4)&lt;0.1),"PASS","FAIL")</f>
        <v>PASS</v>
      </c>
    </row>
    <row r="5" customFormat="false" ht="30" hidden="false" customHeight="true" outlineLevel="0" collapsed="false">
      <c r="A5" s="13" t="s">
        <v>156</v>
      </c>
      <c r="B5" s="15" t="n">
        <f aca="false">'Historical Actuals'!B17-'Operating Model'!B17</f>
        <v>0</v>
      </c>
      <c r="C5" s="15" t="n">
        <f aca="false">'Historical Actuals'!C17-'Operating Model'!C17</f>
        <v>0</v>
      </c>
      <c r="D5" s="15" t="n">
        <f aca="false">'Historical Actuals'!D17-'Operating Model'!D17</f>
        <v>0</v>
      </c>
      <c r="E5" s="15" t="str">
        <f aca="false">IF(AND(ABS(B5)&lt;0.1,ABS(C5)&lt;0.1,ABS(D5)&lt;0.1),"PASS","FAIL")</f>
        <v>PASS</v>
      </c>
    </row>
    <row r="6" customFormat="false" ht="30" hidden="false" customHeight="true" outlineLevel="0" collapsed="false">
      <c r="A6" s="13" t="s">
        <v>157</v>
      </c>
      <c r="B6" s="15" t="n">
        <f aca="false">'Historical Actuals'!B22-'Operating Model'!B20</f>
        <v>0</v>
      </c>
      <c r="C6" s="15" t="n">
        <f aca="false">'Historical Actuals'!C22-'Operating Model'!C20</f>
        <v>0</v>
      </c>
      <c r="D6" s="15" t="n">
        <f aca="false">'Historical Actuals'!D22-'Operating Model'!D20</f>
        <v>0</v>
      </c>
      <c r="E6" s="15" t="str">
        <f aca="false">IF(AND(ABS(B6)&lt;0.1,ABS(C6)&lt;0.1,ABS(D6)&lt;0.1),"PASS","FAIL")</f>
        <v>PASS</v>
      </c>
    </row>
    <row r="7" customFormat="false" ht="30" hidden="false" customHeight="true" outlineLevel="0" collapsed="false">
      <c r="A7" s="13" t="s">
        <v>158</v>
      </c>
      <c r="B7" s="15" t="n">
        <f aca="false">'Historical Actuals'!B25-'Operating Model'!B29</f>
        <v>0</v>
      </c>
      <c r="C7" s="15" t="n">
        <f aca="false">'Historical Actuals'!C25-'Operating Model'!C29</f>
        <v>0</v>
      </c>
      <c r="D7" s="15" t="n">
        <f aca="false">'Historical Actuals'!D25-'Operating Model'!D29</f>
        <v>0</v>
      </c>
      <c r="E7" s="15" t="str">
        <f aca="false">IF(AND(ABS(B7)&lt;0.1,ABS(C7)&lt;0.1,ABS(D7)&lt;0.1),"PASS","FAIL")</f>
        <v>PASS</v>
      </c>
    </row>
    <row r="8" customFormat="false" ht="30" hidden="false" customHeight="true" outlineLevel="0" collapsed="false">
      <c r="A8" s="13" t="s">
        <v>159</v>
      </c>
      <c r="B8" s="15" t="n">
        <f aca="false">('Historical Actuals'!B42+'Historical Actuals'!B44)-'Operating Model'!B33</f>
        <v>0</v>
      </c>
      <c r="C8" s="15" t="n">
        <f aca="false">('Historical Actuals'!C42+'Historical Actuals'!C44)-'Operating Model'!C33</f>
        <v>0</v>
      </c>
      <c r="D8" s="15" t="n">
        <f aca="false">('Historical Actuals'!D42+'Historical Actuals'!D44)-'Operating Model'!D33</f>
        <v>0</v>
      </c>
      <c r="E8" s="15" t="str">
        <f aca="false">IF(AND(ABS(B8)&lt;0.1,ABS(C8)&lt;0.1,ABS(D8)&lt;0.1),"PASS","FAIL")</f>
        <v>PASS</v>
      </c>
    </row>
    <row r="9" customFormat="false" ht="30" hidden="false" customHeight="true" outlineLevel="0" collapsed="false">
      <c r="A9" s="13" t="s">
        <v>160</v>
      </c>
      <c r="B9" s="15" t="n">
        <f aca="false">'Historical Actuals'!B69-'Operating Model'!B29</f>
        <v>0</v>
      </c>
      <c r="C9" s="15" t="n">
        <f aca="false">'Historical Actuals'!C69-'Operating Model'!C29</f>
        <v>0</v>
      </c>
      <c r="D9" s="15" t="n">
        <f aca="false">'Historical Actuals'!D69-'Operating Model'!D29</f>
        <v>0</v>
      </c>
      <c r="E9" s="15" t="str">
        <f aca="false">IF(AND(ABS(B9)&lt;0.1,ABS(C9)&lt;0.1,ABS(D9)&lt;0.1),"PASS","FAIL")</f>
        <v>PASS</v>
      </c>
    </row>
    <row r="10" customFormat="false" ht="30" hidden="false" customHeight="true" outlineLevel="0" collapsed="false">
      <c r="A10" s="13" t="s">
        <v>161</v>
      </c>
      <c r="B10" s="15" t="n">
        <f aca="false">'Historical Actuals'!B38-'Historical Actuals'!B49</f>
        <v>0</v>
      </c>
      <c r="C10" s="15" t="n">
        <f aca="false">'Historical Actuals'!C38-'Historical Actuals'!C49</f>
        <v>0</v>
      </c>
      <c r="D10" s="15" t="n">
        <f aca="false">'Historical Actuals'!D38-'Historical Actuals'!D49</f>
        <v>0</v>
      </c>
      <c r="E10" s="15" t="str">
        <f aca="false">IF(AND(ABS(B10)&lt;0.1,ABS(C10)&lt;0.1,ABS(D10)&lt;0.1),"PASS","FAIL")</f>
        <v>PASS</v>
      </c>
    </row>
    <row r="11" customFormat="false" ht="60" hidden="false" customHeight="true" outlineLevel="0" collapsed="false">
      <c r="A11" s="13" t="s">
        <v>162</v>
      </c>
      <c r="E11" s="15" t="str">
        <f aca="false">IF(AND(ABS('Operating Model'!E36)&lt;1,ABS('Operating Model'!F36)&lt;1,ABS('Operating Model'!G36)&lt;1,ABS('Operating Model'!H36)&lt;1,ABS('Operating Model'!I36)&lt;1),"PASS","FAIL")</f>
        <v>PASS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48"/>
  </cols>
  <sheetData>
    <row r="1" customFormat="false" ht="18" hidden="false" customHeight="true" outlineLevel="0" collapsed="false">
      <c r="A1" s="36" t="s">
        <v>163</v>
      </c>
      <c r="B1" s="36" t="s">
        <v>164</v>
      </c>
      <c r="C1" s="36" t="s">
        <v>165</v>
      </c>
      <c r="D1" s="36" t="s">
        <v>166</v>
      </c>
    </row>
    <row r="2" customFormat="false" ht="45" hidden="false" customHeight="true" outlineLevel="0" collapsed="false">
      <c r="A2" s="13" t="s">
        <v>32</v>
      </c>
      <c r="B2" s="15" t="s">
        <v>167</v>
      </c>
      <c r="C2" s="15" t="s">
        <v>168</v>
      </c>
      <c r="D2" s="15" t="s">
        <v>169</v>
      </c>
    </row>
    <row r="3" customFormat="false" ht="30" hidden="false" customHeight="true" outlineLevel="0" collapsed="false">
      <c r="A3" s="13" t="s">
        <v>170</v>
      </c>
      <c r="B3" s="15" t="s">
        <v>171</v>
      </c>
      <c r="C3" s="15" t="s">
        <v>172</v>
      </c>
      <c r="D3" s="15" t="s">
        <v>173</v>
      </c>
    </row>
    <row r="4" customFormat="false" ht="30" hidden="false" customHeight="true" outlineLevel="0" collapsed="false">
      <c r="A4" s="13" t="s">
        <v>174</v>
      </c>
      <c r="B4" s="15" t="s">
        <v>175</v>
      </c>
      <c r="C4" s="15" t="s">
        <v>176</v>
      </c>
      <c r="D4" s="15" t="s">
        <v>177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2026-06-30T19:52:51Z</dcterms:created>
  <dc:creator/>
  <dc:description/>
  <dc:language>en-US</dc:language>
  <cp:lastModifiedBy/>
  <dcterms:modified xsi:type="dcterms:W3CDTF">2026-06-30T19:52:51Z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