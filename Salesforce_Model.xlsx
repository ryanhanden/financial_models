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32d6782ccc4d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6a4198091c1440b5"/>
    <x:sheet xmlns:r="http://schemas.openxmlformats.org/officeDocument/2006/relationships" name="Historical Actuals" sheetId="2" r:id="Rb55b8bd0fa694c51"/>
    <x:sheet xmlns:r="http://schemas.openxmlformats.org/officeDocument/2006/relationships" name="Inputs" sheetId="3" r:id="Ra334422c98644238"/>
    <x:sheet xmlns:r="http://schemas.openxmlformats.org/officeDocument/2006/relationships" name="Operating Model" sheetId="4" r:id="R3d3cf94f11dd42a4"/>
    <x:sheet xmlns:r="http://schemas.openxmlformats.org/officeDocument/2006/relationships" name="DCF" sheetId="5" r:id="R9a3cea986458431f"/>
    <x:sheet xmlns:r="http://schemas.openxmlformats.org/officeDocument/2006/relationships" name="QA Checks" sheetId="6" r:id="R4d4e4ef944434980"/>
    <x:sheet xmlns:r="http://schemas.openxmlformats.org/officeDocument/2006/relationships" name="Sources" sheetId="7" r:id="R4ded81d6b64e4839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[Red](#,##0);-"/>
    <x:numFmt numFmtId="201" formatCode="0.0%;[Red](0.0%);-"/>
    <x:numFmt numFmtId="202" formatCode="$0.00;[Red]($0.00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0000FF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000000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7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4" fillId="4" borderId="0" xfId="0" applyNumberFormat="1" applyFont="1" applyFill="1" applyBorder="1" applyAlignment="1">
      <x:alignment horizontal="right"/>
    </x:xf>
    <x:xf numFmtId="0" fontId="4" fillId="4" borderId="1" xfId="0" applyNumberFormat="1" applyFont="1" applyFill="1" applyBorder="1" applyAlignment="1">
      <x:alignment horizontal="right"/>
    </x:xf>
    <x:xf numFmtId="0" fontId="5" fillId="2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0" fontId="3" fillId="2" borderId="0" xfId="0" applyNumberFormat="1" applyFont="1" applyFill="1" applyBorder="1"/>
    <x:xf numFmtId="200" fontId="4" fillId="2" borderId="0" xfId="0" applyNumberFormat="1" applyFont="1" applyFill="1" applyBorder="1"/>
    <x:xf numFmtId="200" fontId="3" fillId="2" borderId="1" xfId="0" applyNumberFormat="1" applyFont="1" applyFill="1" applyBorder="1"/>
    <x:xf numFmtId="200" fontId="4" fillId="2" borderId="1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0" borderId="1" xfId="0" applyNumberFormat="1" applyFont="1" applyFill="1" applyBorder="1"/>
    <x:xf numFmtId="200" fontId="6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201" fontId="3" fillId="5" borderId="0" xfId="0" applyNumberFormat="1" applyFont="1" applyFill="1" applyBorder="1"/>
    <x:xf numFmtId="201" fontId="3" fillId="5" borderId="1" xfId="0" applyNumberFormat="1" applyFont="1" applyFill="1" applyBorder="1"/>
    <x:xf numFmtId="200" fontId="3" fillId="5" borderId="0" xfId="0" applyNumberFormat="1" applyFont="1" applyFill="1" applyBorder="1"/>
    <x:xf numFmtId="200" fontId="3" fillId="5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7" fillId="0" borderId="0" xfId="0" applyNumberFormat="1" applyFont="1" applyFill="1" applyBorder="1"/>
    <x:xf numFmtId="201" fontId="7" fillId="0" borderId="0" xfId="0" applyNumberFormat="1" applyFont="1" applyFill="1" applyBorder="1"/>
    <x:xf numFmtId="200" fontId="7" fillId="0" borderId="0" xfId="0" applyNumberFormat="1" applyFont="1" applyFill="1" applyBorder="1"/>
    <x:xf numFmtId="0" fontId="7" fillId="0" borderId="1" xfId="0" applyNumberFormat="1" applyFont="1" applyFill="1" applyBorder="1"/>
    <x:xf numFmtId="201" fontId="7" fillId="0" borderId="1" xfId="0" applyNumberFormat="1" applyFont="1" applyFill="1" applyBorder="1"/>
    <x:xf numFmtId="200" fontId="7" fillId="0" borderId="1" xfId="0" applyNumberFormat="1" applyFont="1" applyFill="1" applyBorder="1"/>
    <x:xf numFmtId="200" fontId="7" fillId="2" borderId="0" xfId="0" applyNumberFormat="1" applyFont="1" applyFill="1" applyBorder="1"/>
    <x:xf numFmtId="200" fontId="7" fillId="2" borderId="1" xfId="0" applyNumberFormat="1" applyFont="1" applyFill="1" applyBorder="1"/>
    <x:xf numFmtId="0" fontId="2" fillId="0" borderId="0" xfId="0" applyNumberFormat="1" applyFont="1" applyFill="1" applyBorder="1"/>
    <x:xf numFmtId="200" fontId="8" fillId="0" borderId="0" xfId="0" applyNumberFormat="1" applyFont="1" applyFill="1" applyBorder="1"/>
    <x:xf numFmtId="20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8" fillId="0" borderId="1" xfId="0" applyNumberFormat="1" applyFont="1" applyFill="1" applyBorder="1"/>
    <x:xf numFmtId="200" fontId="2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1c08877e4f422c" /><Relationship Type="http://schemas.openxmlformats.org/officeDocument/2006/relationships/theme" Target="/xl/theme/theme1.xml" Id="Rf0e266699fba40f2" /><Relationship Type="http://schemas.openxmlformats.org/officeDocument/2006/relationships/sharedStrings" Target="/xl/sharedStrings.xml" Id="R55ff14d3b3b7430e" /><Relationship Type="http://schemas.openxmlformats.org/officeDocument/2006/relationships/worksheet" Target="/xl/worksheets/sheet1.xml" Id="R6a4198091c1440b5" /><Relationship Type="http://schemas.openxmlformats.org/officeDocument/2006/relationships/worksheet" Target="/xl/worksheets/sheet2.xml" Id="Rb55b8bd0fa694c51" /><Relationship Type="http://schemas.openxmlformats.org/officeDocument/2006/relationships/worksheet" Target="/xl/worksheets/sheet3.xml" Id="Ra334422c98644238" /><Relationship Type="http://schemas.openxmlformats.org/officeDocument/2006/relationships/worksheet" Target="/xl/worksheets/sheet4.xml" Id="R3d3cf94f11dd42a4" /><Relationship Type="http://schemas.openxmlformats.org/officeDocument/2006/relationships/worksheet" Target="/xl/worksheets/sheet5.xml" Id="R9a3cea986458431f" /><Relationship Type="http://schemas.openxmlformats.org/officeDocument/2006/relationships/worksheet" Target="/xl/worksheets/sheet6.xml" Id="R4d4e4ef944434980" /><Relationship Type="http://schemas.openxmlformats.org/officeDocument/2006/relationships/worksheet" Target="/xl/worksheets/sheet7.xml" Id="R4ded81d6b64e48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s="4" t="str">
        <x:v>Salesforce, Inc. (CRM) — Banker-Style EDGAR-Tied 3-Statement + DCF Model</x:v>
      </x:c>
    </x:row>
    <x:row r="3">
      <x:c r="A3" s="9" t="str">
        <x:v>Company</x:v>
      </x:c>
      <x:c r="B3" s="12" t="str">
        <x:v>Salesforce, Inc.</x:v>
      </x:c>
    </x:row>
    <x:row r="4">
      <x:c r="A4" s="9" t="str">
        <x:v>Ticker</x:v>
      </x:c>
      <x:c r="B4" s="12" t="str">
        <x:v>CRM</x:v>
      </x:c>
    </x:row>
    <x:row r="5">
      <x:c r="A5" s="9" t="str">
        <x:v>Fiscal Year End</x:v>
      </x:c>
      <x:c r="B5" s="12" t="str">
        <x:v>January 31</x:v>
      </x:c>
    </x:row>
    <x:row r="6">
      <x:c r="A6" s="9" t="str">
        <x:v>Units</x:v>
      </x:c>
      <x:c r="B6" s="12" t="str">
        <x:v>$ in millions, except per-share data</x:v>
      </x:c>
    </x:row>
    <x:row r="7">
      <x:c r="A7" s="9" t="str">
        <x:v>Historical Source</x:v>
      </x:c>
      <x:c r="B7" s="12" t="str">
        <x:v>FY2026 Form 10-K filed March 2, 2026; FY2025 Form 10-K for FY2024 balance sheet</x:v>
      </x:c>
    </x:row>
    <x:row r="8">
      <x:c r="A8" s="9" t="str">
        <x:v>Model Standard</x:v>
      </x:c>
      <x:c r="B8" s="12" t="str">
        <x:v>Historical actuals hardcoded from EDGAR; forecasts formula-driven assumptions</x:v>
      </x:c>
    </x:row>
    <x:row r="9">
      <x:c r="A9" s="9" t="str">
        <x:v>Color Convention</x:v>
      </x:c>
      <x:c r="B9" s="12" t="str">
        <x:v>Blue = historical hardcodes / user assumptions; Black = formulas; Green = workbook links</x:v>
      </x:c>
    </x:row>
    <x:row r="10">
      <x:c r="A10" s="9" t="str">
        <x:v>Forecast Period</x:v>
      </x:c>
      <x:c r="B10" s="12" t="str">
        <x:v>FY2027E–FY2031E</x:v>
      </x:c>
    </x:row>
    <x:row r="11">
      <x:c r="A11" s="9" t="str">
        <x:v>Last Updated</x:v>
      </x:c>
      <x:c r="B11" s="12" t="str">
        <x:v>2026-06-24</x:v>
      </x:c>
    </x:row>
    <x:row r="12">
      <x:c r="A12" s="9" t="str">
        <x:v>Prepared For</x:v>
      </x:c>
      <x:c r="B12" s="12" t="str">
        <x:v>Ryan Anden financial modeling portfolio</x:v>
      </x:c>
    </x:row>
    <x:row r="14">
      <x:c r="A14" s="15" t="str">
        <x:v>Important Modeling Note</x:v>
      </x:c>
    </x:row>
    <x:row r="15">
      <x:c r="A15" s="18" t="str">
        <x:v>The DCF and forecast years are not factual actuals. They are formula-driven assumptions layered on top of EDGAR-tied historical financial statements. Historical line items are sourced from Salesforce's official Form 10-K filings. Forecast balancing items are explicitly labeled and are not used in historical actuals.</x:v>
      </x:c>
      <x:c r="B15" s="18" t="str"/>
      <x:c r="C15" s="18" t="str"/>
      <x:c r="D15" s="18" t="str"/>
      <x:c r="E15" s="18" t="str"/>
      <x:c r="F15" s="18" t="str"/>
      <x:c r="G15" s="18" t="str"/>
      <x:c r="H15" s="18" t="str"/>
    </x:row>
    <x:row r="16">
      <x:c r="A16" s="18" t="str"/>
      <x:c r="B16" s="18" t="str"/>
      <x:c r="C16" s="18" t="str"/>
      <x:c r="D16" s="18" t="str"/>
      <x:c r="E16" s="18" t="str"/>
      <x:c r="F16" s="18" t="str"/>
      <x:c r="G16" s="18" t="str"/>
      <x:c r="H16" s="18" t="str"/>
    </x:row>
    <x:row r="17">
      <x:c r="A17" s="18" t="str"/>
      <x:c r="B17" s="18" t="str"/>
      <x:c r="C17" s="18" t="str"/>
      <x:c r="D17" s="18" t="str"/>
      <x:c r="E17" s="18" t="str"/>
      <x:c r="F17" s="18" t="str"/>
      <x:c r="G17" s="18" t="str"/>
      <x:c r="H17" s="18" t="str"/>
    </x:row>
    <x:row r="18">
      <x:c r="A18" s="18" t="str"/>
      <x:c r="B18" s="18" t="str"/>
      <x:c r="C18" s="18" t="str"/>
      <x:c r="D18" s="18" t="str"/>
      <x:c r="E18" s="18" t="str"/>
      <x:c r="F18" s="18" t="str"/>
      <x:c r="G18" s="18" t="str"/>
      <x:c r="H18" s="18" t="str"/>
    </x:row>
  </x:sheetData>
  <x:mergeCells>
    <x:mergeCell ref="A1:H1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2" hidden="0" customWidth="1"/>
    <x:col min="3" max="3" width="12" hidden="0" customWidth="1"/>
    <x:col min="4" max="4" width="12" hidden="0" customWidth="1"/>
    <x:col min="5" max="5" width="28" hidden="0" customWidth="1"/>
  </x:cols>
  <x:sheetData>
    <x:row r="1">
      <x:c r="A1" s="28" t="str">
        <x:v>Historical Actuals — Salesforce, Inc. ($mm except per-share data)</x:v>
      </x:c>
      <x:c r="B1" s="30"/>
      <x:c r="C1" s="30"/>
      <x:c r="D1" s="30"/>
      <x:c r="E1" s="18"/>
    </x:row>
    <x:row r="3">
      <x:c r="A3" s="26" t="str">
        <x:v>Line Item</x:v>
      </x:c>
      <x:c r="B3" s="26" t="str">
        <x:v>FY2024A</x:v>
      </x:c>
      <x:c r="C3" s="26" t="str">
        <x:v>FY2025A</x:v>
      </x:c>
      <x:c r="D3" s="26" t="str">
        <x:v>FY2026A</x:v>
      </x:c>
      <x:c r="E3" s="26" t="str">
        <x:v>Source</x:v>
      </x:c>
    </x:row>
    <x:row r="4">
      <x:c r="A4" s="20" t="str">
        <x:v>Income Statement</x:v>
      </x:c>
      <x:c r="B4" s="35" t="str"/>
      <x:c r="C4" s="35" t="str"/>
      <x:c r="D4" s="35" t="str"/>
      <x:c r="E4" s="20" t="str"/>
    </x:row>
    <x:row r="5">
      <x:c r="A5" t="str">
        <x:v>Subscription and support revenue</x:v>
      </x:c>
      <x:c r="B5" s="32" t="n">
        <x:v>32537</x:v>
      </x:c>
      <x:c r="C5" s="32" t="n">
        <x:v>35679</x:v>
      </x:c>
      <x:c r="D5" s="32" t="n">
        <x:v>39388</x:v>
      </x:c>
      <x:c r="E5" t="str">
        <x:v>CRM FY2026 10-K</x:v>
      </x:c>
    </x:row>
    <x:row r="6">
      <x:c r="A6" t="str">
        <x:v>Professional services and other revenue</x:v>
      </x:c>
      <x:c r="B6" s="32" t="n">
        <x:v>2320</x:v>
      </x:c>
      <x:c r="C6" s="32" t="n">
        <x:v>2216</x:v>
      </x:c>
      <x:c r="D6" s="32" t="n">
        <x:v>2137</x:v>
      </x:c>
      <x:c r="E6" t="str">
        <x:v>CRM FY2026 10-K</x:v>
      </x:c>
    </x:row>
    <x:row r="7">
      <x:c r="A7" s="39" t="str">
        <x:v>Total revenue</x:v>
      </x:c>
      <x:c r="B7" s="39" t="n">
        <x:v>34857</x:v>
      </x:c>
      <x:c r="C7" s="39" t="n">
        <x:v>37895</x:v>
      </x:c>
      <x:c r="D7" s="39" t="n">
        <x:v>41525</x:v>
      </x:c>
      <x:c r="E7" t="str">
        <x:v>CRM FY2026 10-K</x:v>
      </x:c>
    </x:row>
    <x:row r="8">
      <x:c r="A8" t="str">
        <x:v>Subscription and support cost of revenue</x:v>
      </x:c>
      <x:c r="B8" s="32" t="n">
        <x:v>6177</x:v>
      </x:c>
      <x:c r="C8" s="32" t="n">
        <x:v>6198</x:v>
      </x:c>
      <x:c r="D8" s="32" t="n">
        <x:v>6796</x:v>
      </x:c>
      <x:c r="E8" t="str">
        <x:v>CRM FY2026 10-K</x:v>
      </x:c>
    </x:row>
    <x:row r="9">
      <x:c r="A9" t="str">
        <x:v>Professional services and other cost of revenue</x:v>
      </x:c>
      <x:c r="B9" s="32" t="n">
        <x:v>2364</x:v>
      </x:c>
      <x:c r="C9" s="32" t="n">
        <x:v>2445</x:v>
      </x:c>
      <x:c r="D9" s="32" t="n">
        <x:v>2474</x:v>
      </x:c>
      <x:c r="E9" t="str">
        <x:v>CRM FY2026 10-K</x:v>
      </x:c>
    </x:row>
    <x:row r="10">
      <x:c r="A10" s="39" t="str">
        <x:v>Total cost of revenue</x:v>
      </x:c>
      <x:c r="B10" s="39" t="n">
        <x:v>8541</x:v>
      </x:c>
      <x:c r="C10" s="39" t="n">
        <x:v>8643</x:v>
      </x:c>
      <x:c r="D10" s="39" t="n">
        <x:v>9270</x:v>
      </x:c>
      <x:c r="E10" t="str">
        <x:v>CRM FY2026 10-K</x:v>
      </x:c>
    </x:row>
    <x:row r="11">
      <x:c r="A11" s="39" t="str">
        <x:v>Gross profit</x:v>
      </x:c>
      <x:c r="B11" s="39" t="n">
        <x:v>26316</x:v>
      </x:c>
      <x:c r="C11" s="39" t="n">
        <x:v>29252</x:v>
      </x:c>
      <x:c r="D11" s="39" t="n">
        <x:v>32255</x:v>
      </x:c>
      <x:c r="E11" t="str">
        <x:v>CRM FY2026 10-K</x:v>
      </x:c>
    </x:row>
    <x:row r="12">
      <x:c r="A12" t="str">
        <x:v>Research and development</x:v>
      </x:c>
      <x:c r="B12" s="32" t="n">
        <x:v>4906</x:v>
      </x:c>
      <x:c r="C12" s="32" t="n">
        <x:v>5493</x:v>
      </x:c>
      <x:c r="D12" s="32" t="n">
        <x:v>5993</x:v>
      </x:c>
      <x:c r="E12" t="str">
        <x:v>CRM FY2026 10-K</x:v>
      </x:c>
    </x:row>
    <x:row r="13">
      <x:c r="A13" t="str">
        <x:v>Sales and marketing</x:v>
      </x:c>
      <x:c r="B13" s="32" t="n">
        <x:v>12877</x:v>
      </x:c>
      <x:c r="C13" s="32" t="n">
        <x:v>13257</x:v>
      </x:c>
      <x:c r="D13" s="32" t="n">
        <x:v>14345</x:v>
      </x:c>
      <x:c r="E13" t="str">
        <x:v>CRM FY2026 10-K</x:v>
      </x:c>
    </x:row>
    <x:row r="14">
      <x:c r="A14" t="str">
        <x:v>General and administrative</x:v>
      </x:c>
      <x:c r="B14" s="32" t="n">
        <x:v>2534</x:v>
      </x:c>
      <x:c r="C14" s="32" t="n">
        <x:v>2836</x:v>
      </x:c>
      <x:c r="D14" s="32" t="n">
        <x:v>3000</x:v>
      </x:c>
      <x:c r="E14" t="str">
        <x:v>CRM FY2026 10-K</x:v>
      </x:c>
    </x:row>
    <x:row r="15">
      <x:c r="A15" t="str">
        <x:v>Restructuring</x:v>
      </x:c>
      <x:c r="B15" s="32" t="n">
        <x:v>988</x:v>
      </x:c>
      <x:c r="C15" s="32" t="n">
        <x:v>461</x:v>
      </x:c>
      <x:c r="D15" s="32" t="n">
        <x:v>586</x:v>
      </x:c>
      <x:c r="E15" t="str">
        <x:v>CRM FY2026 10-K</x:v>
      </x:c>
    </x:row>
    <x:row r="16">
      <x:c r="A16" s="39" t="str">
        <x:v>Total operating expenses</x:v>
      </x:c>
      <x:c r="B16" s="39" t="n">
        <x:v>21305</x:v>
      </x:c>
      <x:c r="C16" s="39" t="n">
        <x:v>22047</x:v>
      </x:c>
      <x:c r="D16" s="39" t="n">
        <x:v>23924</x:v>
      </x:c>
      <x:c r="E16" t="str">
        <x:v>CRM FY2026 10-K</x:v>
      </x:c>
    </x:row>
    <x:row r="17">
      <x:c r="A17" s="39" t="str">
        <x:v>Income from operations</x:v>
      </x:c>
      <x:c r="B17" s="39" t="n">
        <x:v>5011</x:v>
      </x:c>
      <x:c r="C17" s="39" t="n">
        <x:v>7205</x:v>
      </x:c>
      <x:c r="D17" s="39" t="n">
        <x:v>8331</x:v>
      </x:c>
      <x:c r="E17" t="str">
        <x:v>CRM FY2026 10-K</x:v>
      </x:c>
    </x:row>
    <x:row r="18">
      <x:c r="A18" t="str">
        <x:v>Gains (losses) on strategic investments, net</x:v>
      </x:c>
      <x:c r="B18" s="32" t="n">
        <x:v>-277</x:v>
      </x:c>
      <x:c r="C18" s="32" t="n">
        <x:v>-121</x:v>
      </x:c>
      <x:c r="D18" s="32" t="n">
        <x:v>1017</x:v>
      </x:c>
      <x:c r="E18" t="str">
        <x:v>CRM FY2026 10-K</x:v>
      </x:c>
    </x:row>
    <x:row r="19">
      <x:c r="A19" t="str">
        <x:v>Other income</x:v>
      </x:c>
      <x:c r="B19" s="32" t="n">
        <x:v>216</x:v>
      </x:c>
      <x:c r="C19" s="32" t="n">
        <x:v>354</x:v>
      </x:c>
      <x:c r="D19" s="32" t="n">
        <x:v>172</x:v>
      </x:c>
      <x:c r="E19" t="str">
        <x:v>CRM FY2026 10-K</x:v>
      </x:c>
    </x:row>
    <x:row r="20">
      <x:c r="A20" t="str">
        <x:v>Income before income taxes</x:v>
      </x:c>
      <x:c r="B20" s="32" t="n">
        <x:v>4950</x:v>
      </x:c>
      <x:c r="C20" s="32" t="n">
        <x:v>7438</x:v>
      </x:c>
      <x:c r="D20" s="32" t="n">
        <x:v>9520</x:v>
      </x:c>
      <x:c r="E20" t="str">
        <x:v>CRM FY2026 10-K</x:v>
      </x:c>
    </x:row>
    <x:row r="21">
      <x:c r="A21" t="str">
        <x:v>Provision for income taxes</x:v>
      </x:c>
      <x:c r="B21" s="32" t="n">
        <x:v>-814</x:v>
      </x:c>
      <x:c r="C21" s="32" t="n">
        <x:v>-1241</x:v>
      </x:c>
      <x:c r="D21" s="32" t="n">
        <x:v>-2063</x:v>
      </x:c>
      <x:c r="E21" t="str">
        <x:v>CRM FY2026 10-K</x:v>
      </x:c>
    </x:row>
    <x:row r="22">
      <x:c r="A22" s="39" t="str">
        <x:v>Net income</x:v>
      </x:c>
      <x:c r="B22" s="39" t="n">
        <x:v>4136</x:v>
      </x:c>
      <x:c r="C22" s="39" t="n">
        <x:v>6197</x:v>
      </x:c>
      <x:c r="D22" s="39" t="n">
        <x:v>7457</x:v>
      </x:c>
      <x:c r="E22" t="str">
        <x:v>CRM FY2026 10-K</x:v>
      </x:c>
    </x:row>
    <x:row r="23">
      <x:c r="A23" t="str">
        <x:v>Diluted shares</x:v>
      </x:c>
      <x:c r="B23" s="32" t="n">
        <x:v>984</x:v>
      </x:c>
      <x:c r="C23" s="32" t="n">
        <x:v>974</x:v>
      </x:c>
      <x:c r="D23" s="32" t="n">
        <x:v>956</x:v>
      </x:c>
      <x:c r="E23" t="str">
        <x:v>CRM FY2026 10-K</x:v>
      </x:c>
    </x:row>
    <x:row r="24">
      <x:c r="A24" s="20" t="str">
        <x:v>Balance Sheet</x:v>
      </x:c>
      <x:c r="B24" s="35" t="str"/>
      <x:c r="C24" s="35" t="str"/>
      <x:c r="D24" s="35" t="str"/>
      <x:c r="E24" s="20" t="str"/>
    </x:row>
    <x:row r="25">
      <x:c r="A25" t="str">
        <x:v>Cash and cash equivalents</x:v>
      </x:c>
      <x:c r="B25" s="32" t="n">
        <x:v>8472</x:v>
      </x:c>
      <x:c r="C25" s="32" t="n">
        <x:v>8848</x:v>
      </x:c>
      <x:c r="D25" s="32" t="n">
        <x:v>7327</x:v>
      </x:c>
      <x:c r="E25" t="str">
        <x:v>CRM FY2025/FY2026 10-K</x:v>
      </x:c>
    </x:row>
    <x:row r="26">
      <x:c r="A26" t="str">
        <x:v>Marketable securities</x:v>
      </x:c>
      <x:c r="B26" s="32" t="n">
        <x:v>5722</x:v>
      </x:c>
      <x:c r="C26" s="32" t="n">
        <x:v>5184</x:v>
      </x:c>
      <x:c r="D26" s="32" t="n">
        <x:v>2238</x:v>
      </x:c>
      <x:c r="E26" t="str">
        <x:v>CRM FY2025/FY2026 10-K</x:v>
      </x:c>
    </x:row>
    <x:row r="27">
      <x:c r="A27" t="str">
        <x:v>Accounts receivable, net</x:v>
      </x:c>
      <x:c r="B27" s="32" t="n">
        <x:v>11414</x:v>
      </x:c>
      <x:c r="C27" s="32" t="n">
        <x:v>11945</x:v>
      </x:c>
      <x:c r="D27" s="32" t="n">
        <x:v>14339</x:v>
      </x:c>
      <x:c r="E27" t="str">
        <x:v>CRM FY2025/FY2026 10-K</x:v>
      </x:c>
    </x:row>
    <x:row r="28">
      <x:c r="A28" t="str">
        <x:v>Costs capitalized to obtain revenue contracts, current</x:v>
      </x:c>
      <x:c r="B28" s="32" t="n">
        <x:v>1905</x:v>
      </x:c>
      <x:c r="C28" s="32" t="n">
        <x:v>1971</x:v>
      </x:c>
      <x:c r="D28" s="32" t="n">
        <x:v>2075</x:v>
      </x:c>
      <x:c r="E28" t="str">
        <x:v>CRM FY2025/FY2026 10-K</x:v>
      </x:c>
    </x:row>
    <x:row r="29">
      <x:c r="A29" t="str">
        <x:v>Prepaid expenses and other current assets</x:v>
      </x:c>
      <x:c r="B29" s="32" t="n">
        <x:v>1561</x:v>
      </x:c>
      <x:c r="C29" s="32" t="n">
        <x:v>1779</x:v>
      </x:c>
      <x:c r="D29" s="32" t="n">
        <x:v>2243</x:v>
      </x:c>
      <x:c r="E29" t="str">
        <x:v>CRM FY2025/FY2026 10-K</x:v>
      </x:c>
    </x:row>
    <x:row r="30">
      <x:c r="A30" s="39" t="str">
        <x:v>Total current assets</x:v>
      </x:c>
      <x:c r="B30" s="39" t="n">
        <x:v>29074</x:v>
      </x:c>
      <x:c r="C30" s="39" t="n">
        <x:v>29727</x:v>
      </x:c>
      <x:c r="D30" s="39" t="n">
        <x:v>28222</x:v>
      </x:c>
      <x:c r="E30" t="str">
        <x:v>CRM FY2025/FY2026 10-K</x:v>
      </x:c>
    </x:row>
    <x:row r="31">
      <x:c r="A31" t="str">
        <x:v>Property and equipment, net</x:v>
      </x:c>
      <x:c r="B31" s="32" t="n">
        <x:v>3689</x:v>
      </x:c>
      <x:c r="C31" s="32" t="n">
        <x:v>3236</x:v>
      </x:c>
      <x:c r="D31" s="32" t="n">
        <x:v>3120</x:v>
      </x:c>
      <x:c r="E31" t="str">
        <x:v>CRM FY2025/FY2026 10-K</x:v>
      </x:c>
    </x:row>
    <x:row r="32">
      <x:c r="A32" t="str">
        <x:v>Operating lease right-of-use assets, net</x:v>
      </x:c>
      <x:c r="B32" s="32" t="n">
        <x:v>2366</x:v>
      </x:c>
      <x:c r="C32" s="32" t="n">
        <x:v>2157</x:v>
      </x:c>
      <x:c r="D32" s="32" t="n">
        <x:v>2003</x:v>
      </x:c>
      <x:c r="E32" t="str">
        <x:v>CRM FY2025/FY2026 10-K</x:v>
      </x:c>
    </x:row>
    <x:row r="33">
      <x:c r="A33" t="str">
        <x:v>Noncurrent costs capitalized to obtain revenue contracts</x:v>
      </x:c>
      <x:c r="B33" s="32" t="n">
        <x:v>2515</x:v>
      </x:c>
      <x:c r="C33" s="32" t="n">
        <x:v>2475</x:v>
      </x:c>
      <x:c r="D33" s="32" t="n">
        <x:v>2985</x:v>
      </x:c>
      <x:c r="E33" t="str">
        <x:v>CRM FY2025/FY2026 10-K</x:v>
      </x:c>
    </x:row>
    <x:row r="34">
      <x:c r="A34" t="str">
        <x:v>Strategic investments</x:v>
      </x:c>
      <x:c r="B34" s="32" t="n">
        <x:v>4848</x:v>
      </x:c>
      <x:c r="C34" s="32" t="n">
        <x:v>4852</x:v>
      </x:c>
      <x:c r="D34" s="32" t="n">
        <x:v>7591</x:v>
      </x:c>
      <x:c r="E34" t="str">
        <x:v>CRM FY2025/FY2026 10-K</x:v>
      </x:c>
    </x:row>
    <x:row r="35">
      <x:c r="A35" t="str">
        <x:v>Goodwill</x:v>
      </x:c>
      <x:c r="B35" s="32" t="n">
        <x:v>48620</x:v>
      </x:c>
      <x:c r="C35" s="32" t="n">
        <x:v>51283</x:v>
      </x:c>
      <x:c r="D35" s="32" t="n">
        <x:v>57941</x:v>
      </x:c>
      <x:c r="E35" t="str">
        <x:v>CRM FY2025/FY2026 10-K</x:v>
      </x:c>
    </x:row>
    <x:row r="36">
      <x:c r="A36" t="str">
        <x:v>Intangible assets, net</x:v>
      </x:c>
      <x:c r="B36" s="32" t="n">
        <x:v>5278</x:v>
      </x:c>
      <x:c r="C36" s="32" t="n">
        <x:v>4428</x:v>
      </x:c>
      <x:c r="D36" s="32" t="n">
        <x:v>6815</x:v>
      </x:c>
      <x:c r="E36" t="str">
        <x:v>CRM FY2025/FY2026 10-K</x:v>
      </x:c>
    </x:row>
    <x:row r="37">
      <x:c r="A37" t="str">
        <x:v>Deferred tax assets and other assets, net</x:v>
      </x:c>
      <x:c r="B37" s="32" t="n">
        <x:v>3433</x:v>
      </x:c>
      <x:c r="C37" s="32" t="n">
        <x:v>4770</x:v>
      </x:c>
      <x:c r="D37" s="32" t="n">
        <x:v>3628</x:v>
      </x:c>
      <x:c r="E37" t="str">
        <x:v>CRM FY2025/FY2026 10-K</x:v>
      </x:c>
    </x:row>
    <x:row r="38">
      <x:c r="A38" s="39" t="str">
        <x:v>Total assets</x:v>
      </x:c>
      <x:c r="B38" s="39" t="n">
        <x:v>99823</x:v>
      </x:c>
      <x:c r="C38" s="39" t="n">
        <x:v>102928</x:v>
      </x:c>
      <x:c r="D38" s="39" t="n">
        <x:v>112305</x:v>
      </x:c>
      <x:c r="E38" t="str">
        <x:v>CRM FY2025/FY2026 10-K</x:v>
      </x:c>
    </x:row>
    <x:row r="39">
      <x:c r="A39" t="str">
        <x:v>Accounts payable, accrued expenses and other liabilities</x:v>
      </x:c>
      <x:c r="B39" s="32" t="n">
        <x:v>6111</x:v>
      </x:c>
      <x:c r="C39" s="32" t="n">
        <x:v>6658</x:v>
      </x:c>
      <x:c r="D39" s="32" t="n">
        <x:v>8253</x:v>
      </x:c>
      <x:c r="E39" t="str">
        <x:v>CRM FY2025/FY2026 10-K</x:v>
      </x:c>
    </x:row>
    <x:row r="40">
      <x:c r="A40" t="str">
        <x:v>Operating lease liabilities, current</x:v>
      </x:c>
      <x:c r="B40" s="32" t="n">
        <x:v>518</x:v>
      </x:c>
      <x:c r="C40" s="32" t="n">
        <x:v>579</x:v>
      </x:c>
      <x:c r="D40" s="32" t="n">
        <x:v>548</x:v>
      </x:c>
      <x:c r="E40" t="str">
        <x:v>CRM FY2025/FY2026 10-K</x:v>
      </x:c>
    </x:row>
    <x:row r="41">
      <x:c r="A41" t="str">
        <x:v>Unearned revenue</x:v>
      </x:c>
      <x:c r="B41" s="32" t="n">
        <x:v>19003</x:v>
      </x:c>
      <x:c r="C41" s="32" t="n">
        <x:v>20743</x:v>
      </x:c>
      <x:c r="D41" s="32" t="n">
        <x:v>24317</x:v>
      </x:c>
      <x:c r="E41" t="str">
        <x:v>CRM FY2025/FY2026 10-K</x:v>
      </x:c>
    </x:row>
    <x:row r="42">
      <x:c r="A42" t="str">
        <x:v>Debt, current</x:v>
      </x:c>
      <x:c r="B42" s="32" t="n">
        <x:v>999</x:v>
      </x:c>
      <x:c r="C42" s="32" t="n">
        <x:v>0</x:v>
      </x:c>
      <x:c r="D42" s="32" t="n">
        <x:v>4000</x:v>
      </x:c>
      <x:c r="E42" t="str">
        <x:v>CRM FY2025/FY2026 10-K</x:v>
      </x:c>
    </x:row>
    <x:row r="43">
      <x:c r="A43" s="39" t="str">
        <x:v>Total current liabilities</x:v>
      </x:c>
      <x:c r="B43" s="39" t="n">
        <x:v>26631</x:v>
      </x:c>
      <x:c r="C43" s="39" t="n">
        <x:v>27980</x:v>
      </x:c>
      <x:c r="D43" s="39" t="n">
        <x:v>37118</x:v>
      </x:c>
      <x:c r="E43" t="str">
        <x:v>CRM FY2025/FY2026 10-K</x:v>
      </x:c>
    </x:row>
    <x:row r="44">
      <x:c r="A44" t="str">
        <x:v>Noncurrent debt</x:v>
      </x:c>
      <x:c r="B44" s="32" t="n">
        <x:v>8427</x:v>
      </x:c>
      <x:c r="C44" s="32" t="n">
        <x:v>8433</x:v>
      </x:c>
      <x:c r="D44" s="32" t="n">
        <x:v>10439</x:v>
      </x:c>
      <x:c r="E44" t="str">
        <x:v>CRM FY2025/FY2026 10-K</x:v>
      </x:c>
    </x:row>
    <x:row r="45">
      <x:c r="A45" t="str">
        <x:v>Noncurrent operating lease liabilities</x:v>
      </x:c>
      <x:c r="B45" s="32" t="n">
        <x:v>2644</x:v>
      </x:c>
      <x:c r="C45" s="32" t="n">
        <x:v>2380</x:v>
      </x:c>
      <x:c r="D45" s="32" t="n">
        <x:v>2189</x:v>
      </x:c>
      <x:c r="E45" t="str">
        <x:v>CRM FY2025/FY2026 10-K</x:v>
      </x:c>
    </x:row>
    <x:row r="46">
      <x:c r="A46" t="str">
        <x:v>Other noncurrent liabilities</x:v>
      </x:c>
      <x:c r="B46" s="32" t="n">
        <x:v>2475</x:v>
      </x:c>
      <x:c r="C46" s="32" t="n">
        <x:v>2962</x:v>
      </x:c>
      <x:c r="D46" s="32" t="n">
        <x:v>3417</x:v>
      </x:c>
      <x:c r="E46" t="str">
        <x:v>CRM FY2025/FY2026 10-K</x:v>
      </x:c>
    </x:row>
    <x:row r="47">
      <x:c r="A47" s="39" t="str">
        <x:v>Total liabilities</x:v>
      </x:c>
      <x:c r="B47" s="39" t="n">
        <x:v>40177</x:v>
      </x:c>
      <x:c r="C47" s="39" t="n">
        <x:v>41755</x:v>
      </x:c>
      <x:c r="D47" s="39" t="n">
        <x:v>53163</x:v>
      </x:c>
      <x:c r="E47" t="str">
        <x:v>CRM FY2025/FY2026 10-K</x:v>
      </x:c>
    </x:row>
    <x:row r="48">
      <x:c r="A48" s="39" t="str">
        <x:v>Total stockholders' equity</x:v>
      </x:c>
      <x:c r="B48" s="39" t="n">
        <x:v>59646</x:v>
      </x:c>
      <x:c r="C48" s="39" t="n">
        <x:v>61173</x:v>
      </x:c>
      <x:c r="D48" s="39" t="n">
        <x:v>59142</x:v>
      </x:c>
      <x:c r="E48" t="str">
        <x:v>CRM FY2025/FY2026 10-K</x:v>
      </x:c>
    </x:row>
    <x:row r="49">
      <x:c r="A49" s="39" t="str">
        <x:v>Total liabilities and stockholders' equity</x:v>
      </x:c>
      <x:c r="B49" s="39" t="n">
        <x:v>99823</x:v>
      </x:c>
      <x:c r="C49" s="39" t="n">
        <x:v>102928</x:v>
      </x:c>
      <x:c r="D49" s="39" t="n">
        <x:v>112305</x:v>
      </x:c>
      <x:c r="E49" t="str">
        <x:v>CRM FY2025/FY2026 10-K</x:v>
      </x:c>
    </x:row>
    <x:row r="50">
      <x:c r="A50" s="20" t="str">
        <x:v>Cash Flow Statement</x:v>
      </x:c>
      <x:c r="B50" s="35" t="str"/>
      <x:c r="C50" s="35" t="str"/>
      <x:c r="D50" s="35" t="str"/>
      <x:c r="E50" s="20" t="str"/>
    </x:row>
    <x:row r="51">
      <x:c r="A51" s="39" t="str">
        <x:v>Net income</x:v>
      </x:c>
      <x:c r="B51" s="39" t="n">
        <x:v>4136</x:v>
      </x:c>
      <x:c r="C51" s="39" t="n">
        <x:v>6197</x:v>
      </x:c>
      <x:c r="D51" s="39" t="n">
        <x:v>7457</x:v>
      </x:c>
      <x:c r="E51" t="str">
        <x:v>CRM FY2026 10-K</x:v>
      </x:c>
    </x:row>
    <x:row r="52">
      <x:c r="A52" t="str">
        <x:v>Depreciation and amortization</x:v>
      </x:c>
      <x:c r="B52" s="32" t="n">
        <x:v>3959</x:v>
      </x:c>
      <x:c r="C52" s="32" t="n">
        <x:v>3477</x:v>
      </x:c>
      <x:c r="D52" s="32" t="n">
        <x:v>3631</x:v>
      </x:c>
      <x:c r="E52" t="str">
        <x:v>CRM FY2026 10-K</x:v>
      </x:c>
    </x:row>
    <x:row r="53">
      <x:c r="A53" t="str">
        <x:v>Amortization of costs capitalized to obtain revenue contracts</x:v>
      </x:c>
      <x:c r="B53" s="32" t="n">
        <x:v>1925</x:v>
      </x:c>
      <x:c r="C53" s="32" t="n">
        <x:v>2095</x:v>
      </x:c>
      <x:c r="D53" s="32" t="n">
        <x:v>2197</x:v>
      </x:c>
      <x:c r="E53" t="str">
        <x:v>CRM FY2026 10-K</x:v>
      </x:c>
    </x:row>
    <x:row r="54">
      <x:c r="A54" t="str">
        <x:v>Stock-based compensation expense</x:v>
      </x:c>
      <x:c r="B54" s="32" t="n">
        <x:v>2787</x:v>
      </x:c>
      <x:c r="C54" s="32" t="n">
        <x:v>3183</x:v>
      </x:c>
      <x:c r="D54" s="32" t="n">
        <x:v>3509</x:v>
      </x:c>
      <x:c r="E54" t="str">
        <x:v>CRM FY2026 10-K</x:v>
      </x:c>
    </x:row>
    <x:row r="55">
      <x:c r="A55" t="str">
        <x:v>Gains (losses) on strategic investments, net</x:v>
      </x:c>
      <x:c r="B55" s="32" t="n">
        <x:v>277</x:v>
      </x:c>
      <x:c r="C55" s="32" t="n">
        <x:v>121</x:v>
      </x:c>
      <x:c r="D55" s="32" t="n">
        <x:v>-1017</x:v>
      </x:c>
      <x:c r="E55" t="str">
        <x:v>CRM FY2026 10-K</x:v>
      </x:c>
    </x:row>
    <x:row r="56">
      <x:c r="A56" t="str">
        <x:v>Change in accounts receivable</x:v>
      </x:c>
      <x:c r="B56" s="32" t="n">
        <x:v>-659</x:v>
      </x:c>
      <x:c r="C56" s="32" t="n">
        <x:v>-490</x:v>
      </x:c>
      <x:c r="D56" s="32" t="n">
        <x:v>-2160</x:v>
      </x:c>
      <x:c r="E56" t="str">
        <x:v>CRM FY2026 10-K</x:v>
      </x:c>
    </x:row>
    <x:row r="57">
      <x:c r="A57" t="str">
        <x:v>Change in costs capitalized to obtain revenue contracts</x:v>
      </x:c>
      <x:c r="B57" s="32" t="n">
        <x:v>-1872</x:v>
      </x:c>
      <x:c r="C57" s="32" t="n">
        <x:v>-2121</x:v>
      </x:c>
      <x:c r="D57" s="32" t="n">
        <x:v>-2811</x:v>
      </x:c>
      <x:c r="E57" t="str">
        <x:v>CRM FY2026 10-K</x:v>
      </x:c>
    </x:row>
    <x:row r="58">
      <x:c r="A58" t="str">
        <x:v>Change in prepaid/other assets</x:v>
      </x:c>
      <x:c r="B58" s="32" t="n">
        <x:v>-843</x:v>
      </x:c>
      <x:c r="C58" s="32" t="n">
        <x:v>-1495</x:v>
      </x:c>
      <x:c r="D58" s="32" t="n">
        <x:v>819</x:v>
      </x:c>
      <x:c r="E58" t="str">
        <x:v>CRM FY2026 10-K</x:v>
      </x:c>
    </x:row>
    <x:row r="59">
      <x:c r="A59" t="str">
        <x:v>Change in accounts payable/accrued/other liabilities</x:v>
      </x:c>
      <x:c r="B59" s="32" t="n">
        <x:v>-478</x:v>
      </x:c>
      <x:c r="C59" s="32" t="n">
        <x:v>1089</x:v>
      </x:c>
      <x:c r="D59" s="32" t="n">
        <x:v>1014</x:v>
      </x:c>
      <x:c r="E59" t="str">
        <x:v>CRM FY2026 10-K</x:v>
      </x:c>
    </x:row>
    <x:row r="60">
      <x:c r="A60" t="str">
        <x:v>Change in operating lease liabilities</x:v>
      </x:c>
      <x:c r="B60" s="32" t="n">
        <x:v>-621</x:v>
      </x:c>
      <x:c r="C60" s="32" t="n">
        <x:v>-548</x:v>
      </x:c>
      <x:c r="D60" s="32" t="n">
        <x:v>-567</x:v>
      </x:c>
      <x:c r="E60" t="str">
        <x:v>CRM FY2026 10-K</x:v>
      </x:c>
    </x:row>
    <x:row r="61">
      <x:c r="A61" t="str">
        <x:v>Change in unearned revenue</x:v>
      </x:c>
      <x:c r="B61" s="32" t="n">
        <x:v>1623</x:v>
      </x:c>
      <x:c r="C61" s="32" t="n">
        <x:v>1584</x:v>
      </x:c>
      <x:c r="D61" s="32" t="n">
        <x:v>2924</x:v>
      </x:c>
      <x:c r="E61" t="str">
        <x:v>CRM FY2026 10-K</x:v>
      </x:c>
    </x:row>
    <x:row r="62">
      <x:c r="A62" s="39" t="str">
        <x:v>Net cash provided by operating activities</x:v>
      </x:c>
      <x:c r="B62" s="39" t="n">
        <x:v>10234</x:v>
      </x:c>
      <x:c r="C62" s="39" t="n">
        <x:v>13092</x:v>
      </x:c>
      <x:c r="D62" s="39" t="n">
        <x:v>14996</x:v>
      </x:c>
      <x:c r="E62" t="str">
        <x:v>CRM FY2026 10-K</x:v>
      </x:c>
    </x:row>
    <x:row r="63">
      <x:c r="A63" t="str">
        <x:v>Capital expenditures</x:v>
      </x:c>
      <x:c r="B63" s="32" t="n">
        <x:v>-736</x:v>
      </x:c>
      <x:c r="C63" s="32" t="n">
        <x:v>-658</x:v>
      </x:c>
      <x:c r="D63" s="32" t="n">
        <x:v>-594</x:v>
      </x:c>
      <x:c r="E63" t="str">
        <x:v>CRM FY2026 10-K</x:v>
      </x:c>
    </x:row>
    <x:row r="64">
      <x:c r="A64" s="39" t="str">
        <x:v>Free cash flow</x:v>
      </x:c>
      <x:c r="B64" s="39" t="n">
        <x:v>9498</x:v>
      </x:c>
      <x:c r="C64" s="39" t="n">
        <x:v>12434</x:v>
      </x:c>
      <x:c r="D64" s="39" t="n">
        <x:v>14402</x:v>
      </x:c>
      <x:c r="E64" t="str">
        <x:v>Formula: CFO + capex from CRM FY2026 10-K</x:v>
      </x:c>
    </x:row>
    <x:row r="65">
      <x:c r="A65" t="str">
        <x:v>Net cash used in investing activities</x:v>
      </x:c>
      <x:c r="B65" s="32" t="n">
        <x:v>-1327</x:v>
      </x:c>
      <x:c r="C65" s="32" t="n">
        <x:v>-3163</x:v>
      </x:c>
      <x:c r="D65" s="32" t="n">
        <x:v>-8590</x:v>
      </x:c>
      <x:c r="E65" t="str">
        <x:v>CRM FY2026 10-K</x:v>
      </x:c>
    </x:row>
    <x:row r="66">
      <x:c r="A66" t="str">
        <x:v>Net cash used in financing activities</x:v>
      </x:c>
      <x:c r="B66" s="32" t="n">
        <x:v>-7477</x:v>
      </x:c>
      <x:c r="C66" s="32" t="n">
        <x:v>-9429</x:v>
      </x:c>
      <x:c r="D66" s="32" t="n">
        <x:v>-8079</x:v>
      </x:c>
      <x:c r="E66" t="str">
        <x:v>CRM FY2026 10-K</x:v>
      </x:c>
    </x:row>
    <x:row r="67">
      <x:c r="A67" t="str">
        <x:v>Net increase (decrease) in cash</x:v>
      </x:c>
      <x:c r="B67" s="32" t="n">
        <x:v>1456</x:v>
      </x:c>
      <x:c r="C67" s="32" t="n">
        <x:v>376</x:v>
      </x:c>
      <x:c r="D67" s="32" t="n">
        <x:v>-1521</x:v>
      </x:c>
      <x:c r="E67" t="str">
        <x:v>CRM FY2026 10-K</x:v>
      </x:c>
    </x:row>
    <x:row r="68">
      <x:c r="A68" t="str">
        <x:v>Cash and cash equivalents, beginning of period</x:v>
      </x:c>
      <x:c r="B68" s="32" t="n">
        <x:v>7016</x:v>
      </x:c>
      <x:c r="C68" s="32" t="n">
        <x:v>8472</x:v>
      </x:c>
      <x:c r="D68" s="32" t="n">
        <x:v>8848</x:v>
      </x:c>
      <x:c r="E68" t="str">
        <x:v>CRM FY2026 10-K</x:v>
      </x:c>
    </x:row>
    <x:row r="69">
      <x:c r="A69" t="str">
        <x:v>Cash and cash equivalents, end of period</x:v>
      </x:c>
      <x:c r="B69" s="32" t="n">
        <x:v>8472</x:v>
      </x:c>
      <x:c r="C69" s="32" t="n">
        <x:v>8848</x:v>
      </x:c>
      <x:c r="D69" s="32" t="n">
        <x:v>7327</x:v>
      </x:c>
      <x:c r="E69" t="str">
        <x:v>CRM FY2026 10-K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42" hidden="0" customWidth="1"/>
  </x:cols>
  <x:sheetData>
    <x:row r="1">
      <x:c r="A1" s="24" t="str">
        <x:v>Inputs &amp; Forecast Assumptions — Salesforce, Inc.</x:v>
      </x:c>
      <x:c r="G1" s="18"/>
    </x:row>
    <x:row r="3">
      <x:c r="A3" s="15" t="str">
        <x:v>Assumption</x:v>
      </x:c>
      <x:c r="B3" s="15" t="str">
        <x:v>FY2027E</x:v>
      </x:c>
      <x:c r="C3" s="15" t="str">
        <x:v>FY2028E</x:v>
      </x:c>
      <x:c r="D3" s="15" t="str">
        <x:v>FY2029E</x:v>
      </x:c>
      <x:c r="E3" s="15" t="str">
        <x:v>FY2030E</x:v>
      </x:c>
      <x:c r="F3" s="15" t="str">
        <x:v>FY2031E</x:v>
      </x:c>
      <x:c r="G3" s="15" t="str">
        <x:v>Notes</x:v>
      </x:c>
    </x:row>
    <x:row r="4">
      <x:c r="A4" t="str">
        <x:v>Revenue growth</x:v>
      </x:c>
      <x:c r="B4" s="46" t="n">
        <x:v>0.105</x:v>
      </x:c>
      <x:c r="C4" s="46" t="n">
        <x:v>0.095</x:v>
      </x:c>
      <x:c r="D4" s="46" t="n">
        <x:v>0.085</x:v>
      </x:c>
      <x:c r="E4" s="46" t="n">
        <x:v>0.075</x:v>
      </x:c>
      <x:c r="F4" s="46" t="n">
        <x:v>0.065</x:v>
      </x:c>
      <x:c r="G4" t="str">
        <x:v>User-changeable forecast assumption</x:v>
      </x:c>
    </x:row>
    <x:row r="5">
      <x:c r="A5" t="str">
        <x:v>Gross margin</x:v>
      </x:c>
      <x:c r="B5" s="46" t="n">
        <x:v>0.78</x:v>
      </x:c>
      <x:c r="C5" s="46" t="n">
        <x:v>0.785</x:v>
      </x:c>
      <x:c r="D5" s="46" t="n">
        <x:v>0.79</x:v>
      </x:c>
      <x:c r="E5" s="46" t="n">
        <x:v>0.795</x:v>
      </x:c>
      <x:c r="F5" s="46" t="n">
        <x:v>0.8</x:v>
      </x:c>
      <x:c r="G5" t="str">
        <x:v>Formula assumption based on SaaS margin expansion</x:v>
      </x:c>
    </x:row>
    <x:row r="6">
      <x:c r="A6" t="str">
        <x:v>R&amp;D as % revenue</x:v>
      </x:c>
      <x:c r="B6" s="46" t="n">
        <x:v>0.142</x:v>
      </x:c>
      <x:c r="C6" s="46" t="n">
        <x:v>0.141</x:v>
      </x:c>
      <x:c r="D6" s="46" t="n">
        <x:v>0.14</x:v>
      </x:c>
      <x:c r="E6" s="46" t="n">
        <x:v>0.139</x:v>
      </x:c>
      <x:c r="F6" s="46" t="n">
        <x:v>0.138</x:v>
      </x:c>
      <x:c r="G6" t="str">
        <x:v>Forecast assumption</x:v>
      </x:c>
    </x:row>
    <x:row r="7">
      <x:c r="A7" t="str">
        <x:v>Sales &amp; marketing as % revenue</x:v>
      </x:c>
      <x:c r="B7" s="46" t="n">
        <x:v>0.335</x:v>
      </x:c>
      <x:c r="C7" s="46" t="n">
        <x:v>0.328</x:v>
      </x:c>
      <x:c r="D7" s="46" t="n">
        <x:v>0.322</x:v>
      </x:c>
      <x:c r="E7" s="46" t="n">
        <x:v>0.316</x:v>
      </x:c>
      <x:c r="F7" s="46" t="n">
        <x:v>0.31</x:v>
      </x:c>
      <x:c r="G7" t="str">
        <x:v>Forecast assumption</x:v>
      </x:c>
    </x:row>
    <x:row r="8">
      <x:c r="A8" t="str">
        <x:v>G&amp;A as % revenue</x:v>
      </x:c>
      <x:c r="B8" s="46" t="n">
        <x:v>0.071</x:v>
      </x:c>
      <x:c r="C8" s="46" t="n">
        <x:v>0.07</x:v>
      </x:c>
      <x:c r="D8" s="46" t="n">
        <x:v>0.069</x:v>
      </x:c>
      <x:c r="E8" s="46" t="n">
        <x:v>0.068</x:v>
      </x:c>
      <x:c r="F8" s="46" t="n">
        <x:v>0.067</x:v>
      </x:c>
      <x:c r="G8" t="str">
        <x:v>Forecast assumption</x:v>
      </x:c>
    </x:row>
    <x:row r="9">
      <x:c r="A9" t="str">
        <x:v>Restructuring as % revenue</x:v>
      </x:c>
      <x:c r="B9" s="46" t="n">
        <x:v>0.01</x:v>
      </x:c>
      <x:c r="C9" s="46" t="n">
        <x:v>0.006</x:v>
      </x:c>
      <x:c r="D9" s="46" t="n">
        <x:v>0.004</x:v>
      </x:c>
      <x:c r="E9" s="46" t="n">
        <x:v>0.003</x:v>
      </x:c>
      <x:c r="F9" s="46" t="n">
        <x:v>0.002</x:v>
      </x:c>
      <x:c r="G9" t="str">
        <x:v>Forecast assumption</x:v>
      </x:c>
    </x:row>
    <x:row r="10">
      <x:c r="A10" t="str">
        <x:v>Tax rate</x:v>
      </x:c>
      <x:c r="B10" s="46" t="n">
        <x:v>0.225</x:v>
      </x:c>
      <x:c r="C10" s="46" t="n">
        <x:v>0.225</x:v>
      </x:c>
      <x:c r="D10" s="46" t="n">
        <x:v>0.225</x:v>
      </x:c>
      <x:c r="E10" s="46" t="n">
        <x:v>0.225</x:v>
      </x:c>
      <x:c r="F10" s="46" t="n">
        <x:v>0.225</x:v>
      </x:c>
      <x:c r="G10" t="str">
        <x:v>DCF tax assumption</x:v>
      </x:c>
    </x:row>
    <x:row r="11">
      <x:c r="A11" t="str">
        <x:v>D&amp;A as % revenue</x:v>
      </x:c>
      <x:c r="B11" s="46" t="n">
        <x:v>0.085</x:v>
      </x:c>
      <x:c r="C11" s="46" t="n">
        <x:v>0.082</x:v>
      </x:c>
      <x:c r="D11" s="46" t="n">
        <x:v>0.08</x:v>
      </x:c>
      <x:c r="E11" s="46" t="n">
        <x:v>0.078</x:v>
      </x:c>
      <x:c r="F11" s="46" t="n">
        <x:v>0.076</x:v>
      </x:c>
      <x:c r="G11" t="str">
        <x:v>Forecast assumption</x:v>
      </x:c>
    </x:row>
    <x:row r="12">
      <x:c r="A12" t="str">
        <x:v>SBC as % revenue</x:v>
      </x:c>
      <x:c r="B12" s="46" t="n">
        <x:v>0.08</x:v>
      </x:c>
      <x:c r="C12" s="46" t="n">
        <x:v>0.076</x:v>
      </x:c>
      <x:c r="D12" s="46" t="n">
        <x:v>0.072</x:v>
      </x:c>
      <x:c r="E12" s="46" t="n">
        <x:v>0.068</x:v>
      </x:c>
      <x:c r="F12" s="46" t="n">
        <x:v>0.064</x:v>
      </x:c>
      <x:c r="G12" t="str">
        <x:v>Forecast assumption</x:v>
      </x:c>
    </x:row>
    <x:row r="13">
      <x:c r="A13" t="str">
        <x:v>Capex as % revenue</x:v>
      </x:c>
      <x:c r="B13" s="46" t="n">
        <x:v>0.015</x:v>
      </x:c>
      <x:c r="C13" s="46" t="n">
        <x:v>0.015</x:v>
      </x:c>
      <x:c r="D13" s="46" t="n">
        <x:v>0.015</x:v>
      </x:c>
      <x:c r="E13" s="46" t="n">
        <x:v>0.015</x:v>
      </x:c>
      <x:c r="F13" s="46" t="n">
        <x:v>0.015</x:v>
      </x:c>
      <x:c r="G13" t="str">
        <x:v>Forecast assumption</x:v>
      </x:c>
    </x:row>
    <x:row r="14">
      <x:c r="A14" t="str">
        <x:v>Change in NWC as % revenue</x:v>
      </x:c>
      <x:c r="B14" s="46" t="n">
        <x:v>-0.01</x:v>
      </x:c>
      <x:c r="C14" s="46" t="n">
        <x:v>-0.008</x:v>
      </x:c>
      <x:c r="D14" s="46" t="n">
        <x:v>-0.006</x:v>
      </x:c>
      <x:c r="E14" s="46" t="n">
        <x:v>-0.004</x:v>
      </x:c>
      <x:c r="F14" s="46" t="n">
        <x:v>-0.003</x:v>
      </x:c>
      <x:c r="G14" t="str">
        <x:v>Negative = source of cash</x:v>
      </x:c>
    </x:row>
    <x:row r="15">
      <x:c r="A15" t="str">
        <x:v>WACC</x:v>
      </x:c>
      <x:c r="B15" s="46" t="n">
        <x:v>0.085</x:v>
      </x:c>
      <x:c r="C15" s="46" t="str"/>
      <x:c r="D15" s="46" t="str"/>
      <x:c r="E15" s="46" t="str"/>
      <x:c r="F15" s="46" t="str"/>
      <x:c r="G15" t="str">
        <x:v>DCF assumption</x:v>
      </x:c>
    </x:row>
    <x:row r="16">
      <x:c r="A16" t="str">
        <x:v>Terminal growth</x:v>
      </x:c>
      <x:c r="B16" s="46" t="n">
        <x:v>0.03</x:v>
      </x:c>
      <x:c r="C16" s="46" t="str"/>
      <x:c r="D16" s="46" t="str"/>
      <x:c r="E16" s="46" t="str"/>
      <x:c r="F16" s="46" t="str"/>
      <x:c r="G16" t="str">
        <x:v>DCF assumption</x:v>
      </x:c>
    </x:row>
    <x:row r="17">
      <x:c r="A17" t="str">
        <x:v>Diluted shares</x:v>
      </x:c>
      <x:c r="B17" s="48" t="n">
        <x:v>930</x:v>
      </x:c>
      <x:c r="C17" s="48" t="str"/>
      <x:c r="D17" s="48" t="str"/>
      <x:c r="E17" s="48" t="str"/>
      <x:c r="F17" s="48" t="str"/>
      <x:c r="G17" t="str">
        <x:v>Assumption based on FY2026 diluted shares less buybacks</x:v>
      </x:c>
    </x:row>
    <x:row r="18">
      <x:c r="A18" t="str">
        <x:v>Current share price</x:v>
      </x:c>
      <x:c r="B18" s="48" t="n">
        <x:v>170</x:v>
      </x:c>
      <x:c r="C18" s="48" t="str"/>
      <x:c r="D18" s="48" t="str"/>
      <x:c r="E18" s="48" t="str"/>
      <x:c r="F18" s="48" t="str"/>
      <x:c r="G18" t="str">
        <x:v>User-changeable market input; update before publishing</x:v>
      </x:c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>
      <x:c r="A1" s="28" t="str">
        <x:v>Operating Model — Salesforce, Inc. ($mm except per-share data)</x:v>
      </x:c>
      <x:c r="B1" s="30"/>
      <x:c r="C1" s="30"/>
      <x:c r="D1" s="30"/>
      <x:c r="E1" s="30"/>
      <x:c r="F1" s="30"/>
      <x:c r="G1" s="30"/>
      <x:c r="H1" s="30"/>
      <x:c r="I1" s="30"/>
    </x:row>
    <x:row r="3">
      <x:c r="A3" s="26" t="str">
        <x:v>Line Item</x:v>
      </x:c>
      <x:c r="B3" s="26" t="str">
        <x:v>FY2024A</x:v>
      </x:c>
      <x:c r="C3" s="26" t="str">
        <x:v>FY2025A</x:v>
      </x:c>
      <x:c r="D3" s="26" t="str">
        <x:v>FY2026A</x:v>
      </x:c>
      <x:c r="E3" s="26" t="str">
        <x:v>FY2027E</x:v>
      </x:c>
      <x:c r="F3" s="26" t="str">
        <x:v>FY2028E</x:v>
      </x:c>
      <x:c r="G3" s="26" t="str">
        <x:v>FY2029E</x:v>
      </x:c>
      <x:c r="H3" s="26" t="str">
        <x:v>FY2030E</x:v>
      </x:c>
      <x:c r="I3" s="26" t="str">
        <x:v>FY2031E</x:v>
      </x:c>
    </x:row>
    <x:row r="4">
      <x:c r="A4" s="20" t="str">
        <x:v>Income Statement</x:v>
      </x:c>
      <x:c r="B4" s="35" t="str"/>
      <x:c r="C4" s="35" t="str"/>
      <x:c r="D4" s="35" t="str"/>
      <x:c r="E4" s="35" t="str"/>
      <x:c r="F4" s="35" t="str"/>
      <x:c r="G4" s="35" t="str"/>
      <x:c r="H4" s="35" t="str"/>
      <x:c r="I4" s="35" t="str"/>
    </x:row>
    <x:row r="5">
      <x:c r="A5" t="str">
        <x:v>Subscription and support revenue</x:v>
      </x:c>
      <x:c r="B5" s="32" t="n">
        <x:v>32537</x:v>
      </x:c>
      <x:c r="C5" s="32" t="n">
        <x:v>35679</x:v>
      </x:c>
      <x:c r="D5" s="32" t="n">
        <x:v>39388</x:v>
      </x:c>
      <x:c r="E5" s="56" t="n">
        <x:f>D5*(1+Inputs!B4)*95.0%</x:f>
        <x:v>41347.55299999999</x:v>
      </x:c>
      <x:c r="F5" s="56" t="n">
        <x:f>E5*(1+Inputs!C4)*95.2%</x:f>
        <x:v>43102.34314932</x:v>
      </x:c>
      <x:c r="G5" s="56" t="n">
        <x:f>F5*(1+Inputs!D4)*95.4%</x:f>
        <x:v>44614.804370429636</x:v>
      </x:c>
      <x:c r="H5" s="56" t="n">
        <x:f>G5*(1+Inputs!E4)*95.6%</x:f>
        <x:v>45850.63445149053</x:v>
      </x:c>
      <x:c r="I5" s="56" t="n">
        <x:f>H5*(1+Inputs!F4)*95.8%</x:f>
        <x:v>46780.02681182224</x:v>
      </x:c>
    </x:row>
    <x:row r="6">
      <x:c r="A6" t="str">
        <x:v>Professional services and other revenue</x:v>
      </x:c>
      <x:c r="B6" s="32" t="n">
        <x:v>2320</x:v>
      </x:c>
      <x:c r="C6" s="32" t="n">
        <x:v>2216</x:v>
      </x:c>
      <x:c r="D6" s="32" t="n">
        <x:v>2137</x:v>
      </x:c>
      <x:c r="E6" s="56" t="n">
        <x:f>D6*(1+Inputs!B4)*105.0%</x:f>
        <x:v>2479.45425</x:v>
      </x:c>
      <x:c r="F6" s="56" t="n">
        <x:f>E6*(1+Inputs!C4)*104.8%</x:f>
        <x:v>2845.32251913</x:v>
      </x:c>
      <x:c r="G6" s="56" t="n">
        <x:f>F6*(1+Inputs!D4)*104.6%</x:f>
        <x:v>3229.1849801858284</x:v>
      </x:c>
      <x:c r="H6" s="56" t="n">
        <x:f>G6*(1+Inputs!E4)*104.4%</x:f>
        <x:v>3624.114303262555</x:v>
      </x:c>
      <x:c r="I6" s="56" t="n">
        <x:f>H6*(1+Inputs!F4)*104.2%</x:f>
        <x:v>4021.7883657595553</x:v>
      </x:c>
    </x:row>
    <x:row r="7">
      <x:c r="A7" s="64" t="str">
        <x:v>Total revenue</x:v>
      </x:c>
      <x:c r="B7" s="39" t="n">
        <x:v>34857</x:v>
      </x:c>
      <x:c r="C7" s="39" t="n">
        <x:v>37895</x:v>
      </x:c>
      <x:c r="D7" s="39" t="n">
        <x:v>41525</x:v>
      </x:c>
      <x:c r="E7" s="63" t="n">
        <x:f>SUM(E5:E6)</x:f>
        <x:v>43827.007249999995</x:v>
      </x:c>
      <x:c r="F7" s="63" t="n">
        <x:f>SUM(F5:F6)</x:f>
        <x:v>45947.66566845</x:v>
      </x:c>
      <x:c r="G7" s="63" t="n">
        <x:f>SUM(G5:G6)</x:f>
        <x:v>47843.98935061546</x:v>
      </x:c>
      <x:c r="H7" s="63" t="n">
        <x:f>SUM(H5:H6)</x:f>
        <x:v>49474.74875475308</x:v>
      </x:c>
      <x:c r="I7" s="63" t="n">
        <x:f>SUM(I5:I6)</x:f>
        <x:v>50801.81517758179</x:v>
      </x:c>
    </x:row>
    <x:row r="8">
      <x:c r="A8" t="str">
        <x:v>Revenue growth</x:v>
      </x:c>
      <x:c r="B8" s="52" t="str"/>
      <x:c r="C8" s="52" t="n">
        <x:f>C7/B7-1</x:f>
        <x:v>0.08715609490202825</x:v>
      </x:c>
      <x:c r="D8" s="52" t="n">
        <x:f>D7/C7-1</x:f>
        <x:v>0.09579100145137875</x:v>
      </x:c>
      <x:c r="E8" s="55" t="n">
        <x:f>E7/D7-1</x:f>
        <x:v>0.05543665863937375</x:v>
      </x:c>
      <x:c r="F8" s="55" t="n">
        <x:f>F7/E7-1</x:f>
        <x:v>0.04838702324238686</x:v>
      </x:c>
      <x:c r="G8" s="55" t="n">
        <x:f>G7/F7-1</x:f>
        <x:v>0.041271382442994886</x:v>
      </x:c>
      <x:c r="H8" s="55" t="n">
        <x:f>H7/G7-1</x:f>
        <x:v>0.034084937863080755</x:v>
      </x:c>
      <x:c r="I8" s="55" t="n">
        <x:f>I7/H7-1</x:f>
        <x:v>0.02682310585157266</x:v>
      </x:c>
    </x:row>
    <x:row r="9">
      <x:c r="A9" t="str">
        <x:v>Total cost of revenue</x:v>
      </x:c>
      <x:c r="B9" s="32" t="n">
        <x:v>8541</x:v>
      </x:c>
      <x:c r="C9" s="32" t="n">
        <x:v>8643</x:v>
      </x:c>
      <x:c r="D9" s="32" t="n">
        <x:v>9270</x:v>
      </x:c>
      <x:c r="E9" s="56" t="n">
        <x:f>E7*(1-Inputs!B5)</x:f>
        <x:v>9641.941594999998</x:v>
      </x:c>
      <x:c r="F9" s="56" t="n">
        <x:f>F7*(1-Inputs!C5)</x:f>
        <x:v>9878.748118716749</x:v>
      </x:c>
      <x:c r="G9" s="56" t="n">
        <x:f>G7*(1-Inputs!D5)</x:f>
        <x:v>10047.237763629246</x:v>
      </x:c>
      <x:c r="H9" s="56" t="n">
        <x:f>H7*(1-Inputs!E5)</x:f>
        <x:v>10142.32349472438</x:v>
      </x:c>
      <x:c r="I9" s="56" t="n">
        <x:f>I7*(1-Inputs!F5)</x:f>
        <x:v>10160.363035516355</x:v>
      </x:c>
    </x:row>
    <x:row r="10">
      <x:c r="A10" s="64" t="str">
        <x:v>Gross profit</x:v>
      </x:c>
      <x:c r="B10" s="39" t="n">
        <x:v>26316</x:v>
      </x:c>
      <x:c r="C10" s="39" t="n">
        <x:v>29252</x:v>
      </x:c>
      <x:c r="D10" s="39" t="n">
        <x:v>32255</x:v>
      </x:c>
      <x:c r="E10" s="63" t="n">
        <x:f>E7-E9</x:f>
        <x:v>34185.065655</x:v>
      </x:c>
      <x:c r="F10" s="63" t="n">
        <x:f>F7-F9</x:f>
        <x:v>36068.91754973325</x:v>
      </x:c>
      <x:c r="G10" s="63" t="n">
        <x:f>G7-G9</x:f>
        <x:v>37796.75158698622</x:v>
      </x:c>
      <x:c r="H10" s="63" t="n">
        <x:f>H7-H9</x:f>
        <x:v>39332.4252600287</x:v>
      </x:c>
      <x:c r="I10" s="63" t="n">
        <x:f>I7-I9</x:f>
        <x:v>40641.452142065435</x:v>
      </x:c>
    </x:row>
    <x:row r="11">
      <x:c r="A11" t="str">
        <x:v>Gross margin</x:v>
      </x:c>
      <x:c r="B11" s="52" t="n">
        <x:f>B10/B7</x:f>
        <x:v>0.7549703072553576</x:v>
      </x:c>
      <x:c r="C11" s="52" t="n">
        <x:f>C10/C7</x:f>
        <x:v>0.7719224172054361</x:v>
      </x:c>
      <x:c r="D11" s="52" t="n">
        <x:f>D10/D7</x:f>
        <x:v>0.7767609873570138</x:v>
      </x:c>
      <x:c r="E11" s="55" t="n">
        <x:f>E10/E7</x:f>
        <x:v>0.78</x:v>
      </x:c>
      <x:c r="F11" s="55" t="n">
        <x:f>F10/F7</x:f>
        <x:v>0.785</x:v>
      </x:c>
      <x:c r="G11" s="55" t="n">
        <x:f>G10/G7</x:f>
        <x:v>0.79</x:v>
      </x:c>
      <x:c r="H11" s="55" t="n">
        <x:f>H10/H7</x:f>
        <x:v>0.7949999999999999</x:v>
      </x:c>
      <x:c r="I11" s="55" t="n">
        <x:f>I10/I7</x:f>
        <x:v>0.8</x:v>
      </x:c>
    </x:row>
    <x:row r="12">
      <x:c r="A12" t="str">
        <x:v>Research and development</x:v>
      </x:c>
      <x:c r="B12" s="32" t="n">
        <x:v>4906</x:v>
      </x:c>
      <x:c r="C12" s="32" t="n">
        <x:v>5493</x:v>
      </x:c>
      <x:c r="D12" s="32" t="n">
        <x:v>5993</x:v>
      </x:c>
      <x:c r="E12" s="56" t="n">
        <x:f>E7*Inputs!B6</x:f>
        <x:v>6223.435029499999</x:v>
      </x:c>
      <x:c r="F12" s="56" t="n">
        <x:f>F7*Inputs!C6</x:f>
        <x:v>6478.6208592514495</x:v>
      </x:c>
      <x:c r="G12" s="56" t="n">
        <x:f>G7*Inputs!D6</x:f>
        <x:v>6698.158509086165</x:v>
      </x:c>
      <x:c r="H12" s="56" t="n">
        <x:f>H7*Inputs!E6</x:f>
        <x:v>6876.990076910679</x:v>
      </x:c>
      <x:c r="I12" s="56" t="n">
        <x:f>I7*Inputs!F6</x:f>
        <x:v>7010.650494506288</x:v>
      </x:c>
    </x:row>
    <x:row r="13">
      <x:c r="A13" t="str">
        <x:v>Sales and marketing</x:v>
      </x:c>
      <x:c r="B13" s="32" t="n">
        <x:v>12877</x:v>
      </x:c>
      <x:c r="C13" s="32" t="n">
        <x:v>13257</x:v>
      </x:c>
      <x:c r="D13" s="32" t="n">
        <x:v>14345</x:v>
      </x:c>
      <x:c r="E13" s="56" t="n">
        <x:f>E7*Inputs!B7</x:f>
        <x:v>14682.04742875</x:v>
      </x:c>
      <x:c r="F13" s="56" t="n">
        <x:f>F7*Inputs!C7</x:f>
        <x:v>15070.8343392516</x:v>
      </x:c>
      <x:c r="G13" s="56" t="n">
        <x:f>G7*Inputs!D7</x:f>
        <x:v>15405.76457089818</x:v>
      </x:c>
      <x:c r="H13" s="56" t="n">
        <x:f>H7*Inputs!E7</x:f>
        <x:v>15634.020606501974</x:v>
      </x:c>
      <x:c r="I13" s="56" t="n">
        <x:f>I7*Inputs!F7</x:f>
        <x:v>15748.562705050355</x:v>
      </x:c>
    </x:row>
    <x:row r="14">
      <x:c r="A14" t="str">
        <x:v>General and administrative</x:v>
      </x:c>
      <x:c r="B14" s="32" t="n">
        <x:v>2534</x:v>
      </x:c>
      <x:c r="C14" s="32" t="n">
        <x:v>2836</x:v>
      </x:c>
      <x:c r="D14" s="32" t="n">
        <x:v>3000</x:v>
      </x:c>
      <x:c r="E14" s="56" t="n">
        <x:f>E7*Inputs!B8</x:f>
        <x:v>3111.7175147499993</x:v>
      </x:c>
      <x:c r="F14" s="56" t="n">
        <x:f>F7*Inputs!C8</x:f>
        <x:v>3216.3365967915</x:v>
      </x:c>
      <x:c r="G14" s="56" t="n">
        <x:f>G7*Inputs!D8</x:f>
        <x:v>3301.235265192467</x:v>
      </x:c>
      <x:c r="H14" s="56" t="n">
        <x:f>H7*Inputs!E8</x:f>
        <x:v>3364.28291532321</x:v>
      </x:c>
      <x:c r="I14" s="56" t="n">
        <x:f>I7*Inputs!F8</x:f>
        <x:v>3403.7216168979803</x:v>
      </x:c>
    </x:row>
    <x:row r="15">
      <x:c r="A15" t="str">
        <x:v>Restructuring</x:v>
      </x:c>
      <x:c r="B15" s="32" t="n">
        <x:v>988</x:v>
      </x:c>
      <x:c r="C15" s="32" t="n">
        <x:v>461</x:v>
      </x:c>
      <x:c r="D15" s="32" t="n">
        <x:v>586</x:v>
      </x:c>
      <x:c r="E15" s="56" t="n">
        <x:f>E7*Inputs!B9</x:f>
        <x:v>438.27007249999997</x:v>
      </x:c>
      <x:c r="F15" s="56" t="n">
        <x:f>F7*Inputs!C9</x:f>
        <x:v>275.68599401069997</x:v>
      </x:c>
      <x:c r="G15" s="56" t="n">
        <x:f>G7*Inputs!D9</x:f>
        <x:v>191.37595740246186</x:v>
      </x:c>
      <x:c r="H15" s="56" t="n">
        <x:f>H7*Inputs!E9</x:f>
        <x:v>148.42424626425927</x:v>
      </x:c>
      <x:c r="I15" s="56" t="n">
        <x:f>I7*Inputs!F9</x:f>
        <x:v>101.60363035516359</x:v>
      </x:c>
    </x:row>
    <x:row r="16">
      <x:c r="A16" s="64" t="str">
        <x:v>Total operating expenses</x:v>
      </x:c>
      <x:c r="B16" s="39" t="n">
        <x:v>21305</x:v>
      </x:c>
      <x:c r="C16" s="39" t="n">
        <x:v>22047</x:v>
      </x:c>
      <x:c r="D16" s="39" t="n">
        <x:v>23924</x:v>
      </x:c>
      <x:c r="E16" s="63" t="n">
        <x:f>SUM(E12:E15)</x:f>
        <x:v>24455.4700455</x:v>
      </x:c>
      <x:c r="F16" s="63" t="n">
        <x:f>SUM(F12:F15)</x:f>
        <x:v>25041.47778930525</x:v>
      </x:c>
      <x:c r="G16" s="63" t="n">
        <x:f>SUM(G12:G15)</x:f>
        <x:v>25596.534302579275</x:v>
      </x:c>
      <x:c r="H16" s="63" t="n">
        <x:f>SUM(H12:H15)</x:f>
        <x:v>26023.71784500012</x:v>
      </x:c>
      <x:c r="I16" s="63" t="n">
        <x:f>SUM(I12:I15)</x:f>
        <x:v>26264.538446809787</x:v>
      </x:c>
    </x:row>
    <x:row r="17">
      <x:c r="A17" s="64" t="str">
        <x:v>Income from operations</x:v>
      </x:c>
      <x:c r="B17" s="39" t="n">
        <x:v>5011</x:v>
      </x:c>
      <x:c r="C17" s="39" t="n">
        <x:v>7205</x:v>
      </x:c>
      <x:c r="D17" s="39" t="n">
        <x:v>8331</x:v>
      </x:c>
      <x:c r="E17" s="63" t="n">
        <x:f>E10-E16</x:f>
        <x:v>9729.5956095</x:v>
      </x:c>
      <x:c r="F17" s="63" t="n">
        <x:f>F10-F16</x:f>
        <x:v>11027.439760427998</x:v>
      </x:c>
      <x:c r="G17" s="63" t="n">
        <x:f>G10-G16</x:f>
        <x:v>12200.217284406943</x:v>
      </x:c>
      <x:c r="H17" s="63" t="n">
        <x:f>H10-H16</x:f>
        <x:v>13308.70741502858</x:v>
      </x:c>
      <x:c r="I17" s="63" t="n">
        <x:f>I10-I16</x:f>
        <x:v>14376.913695255647</x:v>
      </x:c>
    </x:row>
    <x:row r="18">
      <x:c r="A18" t="str">
        <x:v>Operating margin</x:v>
      </x:c>
      <x:c r="B18" s="52" t="n">
        <x:f>B17/B7</x:f>
        <x:v>0.14375878589666352</x:v>
      </x:c>
      <x:c r="C18" s="52" t="n">
        <x:f>C17/C7</x:f>
        <x:v>0.19013062409288825</x:v>
      </x:c>
      <x:c r="D18" s="52" t="n">
        <x:f>D17/D7</x:f>
        <x:v>0.20062612883804937</x:v>
      </x:c>
      <x:c r="E18" s="55" t="n">
        <x:f>E17/E7</x:f>
        <x:v>0.22200000000000003</x:v>
      </x:c>
      <x:c r="F18" s="55" t="n">
        <x:f>F17/F7</x:f>
        <x:v>0.24</x:v>
      </x:c>
      <x:c r="G18" s="55" t="n">
        <x:f>G17/G7</x:f>
        <x:v>0.255</x:v>
      </x:c>
      <x:c r="H18" s="55" t="n">
        <x:f>H17/H7</x:f>
        <x:v>0.269</x:v>
      </x:c>
      <x:c r="I18" s="55" t="n">
        <x:f>I17/I7</x:f>
        <x:v>0.28300000000000003</x:v>
      </x:c>
    </x:row>
    <x:row r="19">
      <x:c r="A19" t="str">
        <x:v>Tax expense / (benefit)</x:v>
      </x:c>
      <x:c r="B19" s="32" t="n">
        <x:v>-814</x:v>
      </x:c>
      <x:c r="C19" s="32" t="n">
        <x:v>-1241</x:v>
      </x:c>
      <x:c r="D19" s="32" t="n">
        <x:v>-2063</x:v>
      </x:c>
      <x:c r="E19" s="56" t="n">
        <x:f>-E17*Inputs!B10</x:f>
        <x:v>-2189.1590121375</x:v>
      </x:c>
      <x:c r="F19" s="56" t="n">
        <x:f>-F17*Inputs!C10</x:f>
        <x:v>-2481.1739460963</x:v>
      </x:c>
      <x:c r="G19" s="56" t="n">
        <x:f>-G17*Inputs!D10</x:f>
        <x:v>-2745.0488889915623</x:v>
      </x:c>
      <x:c r="H19" s="56" t="n">
        <x:f>-H17*Inputs!E10</x:f>
        <x:v>-2994.4591683814306</x:v>
      </x:c>
      <x:c r="I19" s="56" t="n">
        <x:f>-I17*Inputs!F10</x:f>
        <x:v>-3234.8055814325207</x:v>
      </x:c>
    </x:row>
    <x:row r="20">
      <x:c r="A20" s="64" t="str">
        <x:v>Net income</x:v>
      </x:c>
      <x:c r="B20" s="39" t="n">
        <x:v>4136</x:v>
      </x:c>
      <x:c r="C20" s="39" t="n">
        <x:v>6197</x:v>
      </x:c>
      <x:c r="D20" s="39" t="n">
        <x:v>7457</x:v>
      </x:c>
      <x:c r="E20" s="63" t="n">
        <x:f>E17+E19</x:f>
        <x:v>7540.4365973625</x:v>
      </x:c>
      <x:c r="F20" s="63" t="n">
        <x:f>F17+F19</x:f>
        <x:v>8546.265814331698</x:v>
      </x:c>
      <x:c r="G20" s="63" t="n">
        <x:f>G17+G19</x:f>
        <x:v>9455.168395415381</x:v>
      </x:c>
      <x:c r="H20" s="63" t="n">
        <x:f>H17+H19</x:f>
        <x:v>10314.24824664715</x:v>
      </x:c>
      <x:c r="I20" s="63" t="n">
        <x:f>I17+I19</x:f>
        <x:v>11142.108113823127</x:v>
      </x:c>
    </x:row>
    <x:row r="21">
      <x:c r="A21" s="20" t="str">
        <x:v>Cash Flow / FCF</x:v>
      </x:c>
      <x:c r="B21" s="35" t="str"/>
      <x:c r="C21" s="35" t="str"/>
      <x:c r="D21" s="35" t="str"/>
      <x:c r="E21" s="35" t="str"/>
      <x:c r="F21" s="35" t="str"/>
      <x:c r="G21" s="35" t="str"/>
      <x:c r="H21" s="35" t="str"/>
      <x:c r="I21" s="35" t="str"/>
    </x:row>
    <x:row r="22">
      <x:c r="A22" t="str">
        <x:v>Depreciation and amortization</x:v>
      </x:c>
      <x:c r="B22" s="32" t="n">
        <x:v>3959</x:v>
      </x:c>
      <x:c r="C22" s="32" t="n">
        <x:v>3477</x:v>
      </x:c>
      <x:c r="D22" s="32" t="n">
        <x:v>3631</x:v>
      </x:c>
      <x:c r="E22" s="56" t="n">
        <x:f>E7*Inputs!B11</x:f>
        <x:v>3725.29561625</x:v>
      </x:c>
      <x:c r="F22" s="56" t="n">
        <x:f>F7*Inputs!C11</x:f>
        <x:v>3767.7085848129</x:v>
      </x:c>
      <x:c r="G22" s="56" t="n">
        <x:f>G7*Inputs!D11</x:f>
        <x:v>3827.519148049237</x:v>
      </x:c>
      <x:c r="H22" s="56" t="n">
        <x:f>H7*Inputs!E11</x:f>
        <x:v>3859.0304028707405</x:v>
      </x:c>
      <x:c r="I22" s="56" t="n">
        <x:f>I7*Inputs!F11</x:f>
        <x:v>3860.937953496216</x:v>
      </x:c>
    </x:row>
    <x:row r="23">
      <x:c r="A23" t="str">
        <x:v>Stock-based compensation</x:v>
      </x:c>
      <x:c r="B23" s="32" t="n">
        <x:v>2787</x:v>
      </x:c>
      <x:c r="C23" s="32" t="n">
        <x:v>3183</x:v>
      </x:c>
      <x:c r="D23" s="32" t="n">
        <x:v>3509</x:v>
      </x:c>
      <x:c r="E23" s="56" t="n">
        <x:f>E7*Inputs!B12</x:f>
        <x:v>3506.1605799999998</x:v>
      </x:c>
      <x:c r="F23" s="56" t="n">
        <x:f>F7*Inputs!C12</x:f>
        <x:v>3492.0225908022</x:v>
      </x:c>
      <x:c r="G23" s="56" t="n">
        <x:f>G7*Inputs!D12</x:f>
        <x:v>3444.767233244313</x:v>
      </x:c>
      <x:c r="H23" s="56" t="n">
        <x:f>H7*Inputs!E12</x:f>
        <x:v>3364.28291532321</x:v>
      </x:c>
      <x:c r="I23" s="56" t="n">
        <x:f>I7*Inputs!F12</x:f>
        <x:v>3251.316171365235</x:v>
      </x:c>
    </x:row>
    <x:row r="24">
      <x:c r="A24" t="str">
        <x:v>Change in net working capital</x:v>
      </x:c>
      <x:c r="B24" s="32" t="n">
        <x:v>-2050</x:v>
      </x:c>
      <x:c r="C24" s="32" t="n">
        <x:v>-1981</x:v>
      </x:c>
      <x:c r="D24" s="32" t="n">
        <x:v>-781</x:v>
      </x:c>
      <x:c r="E24" s="56" t="n">
        <x:f>E7*Inputs!B14</x:f>
        <x:v>-438.27007249999997</x:v>
      </x:c>
      <x:c r="F24" s="56" t="n">
        <x:f>F7*Inputs!C14</x:f>
        <x:v>-367.5813253476</x:v>
      </x:c>
      <x:c r="G24" s="56" t="n">
        <x:f>G7*Inputs!D14</x:f>
        <x:v>-287.06393610369275</x:v>
      </x:c>
      <x:c r="H24" s="56" t="n">
        <x:f>H7*Inputs!E14</x:f>
        <x:v>-197.89899501901235</x:v>
      </x:c>
      <x:c r="I24" s="56" t="n">
        <x:f>I7*Inputs!F14</x:f>
        <x:v>-152.40544553274538</x:v>
      </x:c>
    </x:row>
    <x:row r="25">
      <x:c r="A25" s="64" t="str">
        <x:v>Cash flow from operations</x:v>
      </x:c>
      <x:c r="B25" s="39" t="n">
        <x:v>10234</x:v>
      </x:c>
      <x:c r="C25" s="39" t="n">
        <x:v>13092</x:v>
      </x:c>
      <x:c r="D25" s="39" t="n">
        <x:v>14996</x:v>
      </x:c>
      <x:c r="E25" s="63" t="n">
        <x:f>E20+E22+E23+E24</x:f>
        <x:v>14333.6227211125</x:v>
      </x:c>
      <x:c r="F25" s="63" t="n">
        <x:f>F20+F22+F23+F24</x:f>
        <x:v>15438.415664599197</x:v>
      </x:c>
      <x:c r="G25" s="63" t="n">
        <x:f>G20+G22+G23+G24</x:f>
        <x:v>16440.39084060524</x:v>
      </x:c>
      <x:c r="H25" s="63" t="n">
        <x:f>H20+H22+H23+H24</x:f>
        <x:v>17339.66256982209</x:v>
      </x:c>
      <x:c r="I25" s="63" t="n">
        <x:f>I20+I22+I23+I24</x:f>
        <x:v>18101.956793151832</x:v>
      </x:c>
    </x:row>
    <x:row r="26">
      <x:c r="A26" t="str">
        <x:v>Capital expenditures</x:v>
      </x:c>
      <x:c r="B26" s="32" t="n">
        <x:v>-736</x:v>
      </x:c>
      <x:c r="C26" s="32" t="n">
        <x:v>-658</x:v>
      </x:c>
      <x:c r="D26" s="32" t="n">
        <x:v>-594</x:v>
      </x:c>
      <x:c r="E26" s="56" t="n">
        <x:f>-E7*Inputs!B13</x:f>
        <x:v>-657.40510875</x:v>
      </x:c>
      <x:c r="F26" s="56" t="n">
        <x:f>-F7*Inputs!C13</x:f>
        <x:v>-689.2149850267499</x:v>
      </x:c>
      <x:c r="G26" s="56" t="n">
        <x:f>-G7*Inputs!D13</x:f>
        <x:v>-717.6598402592319</x:v>
      </x:c>
      <x:c r="H26" s="56" t="n">
        <x:f>-H7*Inputs!E13</x:f>
        <x:v>-742.1212313212962</x:v>
      </x:c>
      <x:c r="I26" s="56" t="n">
        <x:f>-I7*Inputs!F13</x:f>
        <x:v>-762.0272276637268</x:v>
      </x:c>
    </x:row>
    <x:row r="27">
      <x:c r="A27" s="64" t="str">
        <x:v>Free cash flow</x:v>
      </x:c>
      <x:c r="B27" s="39" t="n">
        <x:v>9498</x:v>
      </x:c>
      <x:c r="C27" s="39" t="n">
        <x:v>12434</x:v>
      </x:c>
      <x:c r="D27" s="39" t="n">
        <x:v>14402</x:v>
      </x:c>
      <x:c r="E27" s="63" t="n">
        <x:f>E25+E26</x:f>
        <x:v>13676.217612362501</x:v>
      </x:c>
      <x:c r="F27" s="63" t="n">
        <x:f>F25+F26</x:f>
        <x:v>14749.200679572446</x:v>
      </x:c>
      <x:c r="G27" s="63" t="n">
        <x:f>G25+G26</x:f>
        <x:v>15722.731000346008</x:v>
      </x:c>
      <x:c r="H27" s="63" t="n">
        <x:f>H25+H26</x:f>
        <x:v>16597.541338500792</x:v>
      </x:c>
      <x:c r="I27" s="63" t="n">
        <x:f>I25+I26</x:f>
        <x:v>17339.929565488106</x:v>
      </x:c>
    </x:row>
    <x:row r="28">
      <x:c r="A28" s="20" t="str">
        <x:v>Balance Sheet Summary</x:v>
      </x:c>
      <x:c r="B28" s="35" t="str"/>
      <x:c r="C28" s="35" t="str"/>
      <x:c r="D28" s="35" t="str"/>
      <x:c r="E28" s="35" t="str"/>
      <x:c r="F28" s="35" t="str"/>
      <x:c r="G28" s="35" t="str"/>
      <x:c r="H28" s="35" t="str"/>
      <x:c r="I28" s="35" t="str"/>
    </x:row>
    <x:row r="29">
      <x:c r="A29" t="str">
        <x:v>Cash and cash equivalents</x:v>
      </x:c>
      <x:c r="B29" s="32" t="n">
        <x:v>8472</x:v>
      </x:c>
      <x:c r="C29" s="32" t="n">
        <x:v>8848</x:v>
      </x:c>
      <x:c r="D29" s="32" t="n">
        <x:v>7327</x:v>
      </x:c>
      <x:c r="E29" s="56" t="n">
        <x:f>D29+E27</x:f>
        <x:v>21003.217612362503</x:v>
      </x:c>
      <x:c r="F29" s="56" t="n">
        <x:f>E29+F27</x:f>
        <x:v>35752.41829193495</x:v>
      </x:c>
      <x:c r="G29" s="56" t="n">
        <x:f>F29+G27</x:f>
        <x:v>51475.149292280956</x:v>
      </x:c>
      <x:c r="H29" s="56" t="n">
        <x:f>G29+H27</x:f>
        <x:v>68072.69063078176</x:v>
      </x:c>
      <x:c r="I29" s="56" t="n">
        <x:f>H29+I27</x:f>
        <x:v>85412.62019626985</x:v>
      </x:c>
    </x:row>
    <x:row r="30">
      <x:c r="A30" t="str">
        <x:v>Marketable securities</x:v>
      </x:c>
      <x:c r="B30" s="32" t="n">
        <x:v>5722</x:v>
      </x:c>
      <x:c r="C30" s="32" t="n">
        <x:v>5184</x:v>
      </x:c>
      <x:c r="D30" s="32" t="n">
        <x:v>2238</x:v>
      </x:c>
      <x:c r="E30" s="56" t="n">
        <x:f>D30</x:f>
        <x:v>2238</x:v>
      </x:c>
      <x:c r="F30" s="56" t="n">
        <x:f>E30</x:f>
        <x:v>2238</x:v>
      </x:c>
      <x:c r="G30" s="56" t="n">
        <x:f>F30</x:f>
        <x:v>2238</x:v>
      </x:c>
      <x:c r="H30" s="56" t="n">
        <x:f>G30</x:f>
        <x:v>2238</x:v>
      </x:c>
      <x:c r="I30" s="56" t="n">
        <x:f>H30</x:f>
        <x:v>2238</x:v>
      </x:c>
    </x:row>
    <x:row r="31">
      <x:c r="A31" t="str">
        <x:v>Accounts receivable, net</x:v>
      </x:c>
      <x:c r="B31" s="32" t="n">
        <x:v>11414</x:v>
      </x:c>
      <x:c r="C31" s="32" t="n">
        <x:v>11945</x:v>
      </x:c>
      <x:c r="D31" s="32" t="n">
        <x:v>14339</x:v>
      </x:c>
      <x:c r="E31" s="56" t="n">
        <x:f>E7*32.0%</x:f>
        <x:v>14024.642319999999</x:v>
      </x:c>
      <x:c r="F31" s="56" t="n">
        <x:f>F7*31.5%</x:f>
        <x:v>14473.51468556175</x:v>
      </x:c>
      <x:c r="G31" s="56" t="n">
        <x:f>G7*31.0%</x:f>
        <x:v>14831.636698690792</x:v>
      </x:c>
      <x:c r="H31" s="56" t="n">
        <x:f>H7*30.5%</x:f>
        <x:v>15089.79837019969</x:v>
      </x:c>
      <x:c r="I31" s="56" t="n">
        <x:f>I7*30.0%</x:f>
        <x:v>15240.544553274536</x:v>
      </x:c>
    </x:row>
    <x:row r="32">
      <x:c r="A32" t="str">
        <x:v>Unearned revenue</x:v>
      </x:c>
      <x:c r="B32" s="32" t="n">
        <x:v>19003</x:v>
      </x:c>
      <x:c r="C32" s="32" t="n">
        <x:v>20743</x:v>
      </x:c>
      <x:c r="D32" s="32" t="n">
        <x:v>24317</x:v>
      </x:c>
      <x:c r="E32" s="56" t="n">
        <x:f>E7*58.0%</x:f>
        <x:v>25419.664204999994</x:v>
      </x:c>
      <x:c r="F32" s="56" t="n">
        <x:f>F7*58.5%</x:f>
        <x:v>26879.384416043245</x:v>
      </x:c>
      <x:c r="G32" s="56" t="n">
        <x:f>G7*59.0%</x:f>
        <x:v>28227.95371686312</x:v>
      </x:c>
      <x:c r="H32" s="56" t="n">
        <x:f>H7*59.5%</x:f>
        <x:v>29437.47550907808</x:v>
      </x:c>
      <x:c r="I32" s="56" t="n">
        <x:f>I7*60.0%</x:f>
        <x:v>30481.089106549072</x:v>
      </x:c>
    </x:row>
    <x:row r="33">
      <x:c r="A33" t="str">
        <x:v>Debt</x:v>
      </x:c>
      <x:c r="B33" s="32" t="n">
        <x:v>9426</x:v>
      </x:c>
      <x:c r="C33" s="32" t="n">
        <x:v>8433</x:v>
      </x:c>
      <x:c r="D33" s="32" t="n">
        <x:v>14439</x:v>
      </x:c>
      <x:c r="E33" s="56" t="n">
        <x:f>D33</x:f>
        <x:v>14439</x:v>
      </x:c>
      <x:c r="F33" s="56" t="n">
        <x:f>E33</x:f>
        <x:v>14439</x:v>
      </x:c>
      <x:c r="G33" s="56" t="n">
        <x:f>F33</x:f>
        <x:v>14439</x:v>
      </x:c>
      <x:c r="H33" s="56" t="n">
        <x:f>G33</x:f>
        <x:v>14439</x:v>
      </x:c>
      <x:c r="I33" s="56" t="n">
        <x:f>H33</x:f>
        <x:v>14439</x:v>
      </x:c>
    </x:row>
    <x:row r="34">
      <x:c r="A34" t="str">
        <x:v>Total stockholders' equity</x:v>
      </x:c>
      <x:c r="B34" s="32" t="n">
        <x:v>59646</x:v>
      </x:c>
      <x:c r="C34" s="32" t="n">
        <x:v>61173</x:v>
      </x:c>
      <x:c r="D34" s="32" t="n">
        <x:v>59142</x:v>
      </x:c>
      <x:c r="E34" s="56" t="n">
        <x:f>D34+E20</x:f>
        <x:v>66682.4365973625</x:v>
      </x:c>
      <x:c r="F34" s="56" t="n">
        <x:f>E34+F20</x:f>
        <x:v>75228.70241169419</x:v>
      </x:c>
      <x:c r="G34" s="56" t="n">
        <x:f>F34+G20</x:f>
        <x:v>84683.87080710958</x:v>
      </x:c>
      <x:c r="H34" s="56" t="n">
        <x:f>G34+H20</x:f>
        <x:v>94998.11905375673</x:v>
      </x:c>
      <x:c r="I34" s="56" t="n">
        <x:f>H34+I20</x:f>
        <x:v>106140.22716757985</x:v>
      </x:c>
    </x:row>
    <x:row r="35">
      <x:c r="A35" s="64" t="str">
        <x:v>Forecast balancing item / other net assets</x:v>
      </x:c>
      <x:c r="B35" s="39" t="n">
        <x:v>0</x:v>
      </x:c>
      <x:c r="C35" s="39" t="n">
        <x:v>0</x:v>
      </x:c>
      <x:c r="D35" s="39" t="n">
        <x:v>0</x:v>
      </x:c>
      <x:c r="E35" s="63" t="n">
        <x:f>E32+E33+E34-E29-E30-E31</x:f>
        <x:v>69275.24087</x:v>
      </x:c>
      <x:c r="F35" s="63" t="n">
        <x:f>F32+F33+F34-F29-F30-F31</x:f>
        <x:v>64083.153850240735</x:v>
      </x:c>
      <x:c r="G35" s="63" t="n">
        <x:f>G32+G33+G34-G29-G30-G31</x:f>
        <x:v>58806.038533000945</x:v>
      </x:c>
      <x:c r="H35" s="63" t="n">
        <x:f>H32+H33+H34-H29-H30-H31</x:f>
        <x:v>53474.10556185338</x:v>
      </x:c>
      <x:c r="I35" s="63" t="n">
        <x:f>I32+I33+I34-I29-I30-I31</x:f>
        <x:v>48169.15152458452</x:v>
      </x:c>
    </x:row>
    <x:row r="36">
      <x:c r="A36" t="str">
        <x:v>Balance check</x:v>
      </x:c>
      <x:c r="B36" t="n">
        <x:v>0</x:v>
      </x:c>
      <x:c r="C36" t="n">
        <x:v>0</x:v>
      </x:c>
      <x:c r="D36" t="n">
        <x:v>0</x:v>
      </x:c>
      <x:c r="E36" t="n">
        <x:f>E29+E30+E31+E35-E32-E33-E34</x:f>
        <x:v>0</x:v>
      </x:c>
      <x:c r="F36" t="n">
        <x:f>F29+F30+F31+F35-F32-F33-F34</x:f>
        <x:v>-1.4551915228366852e-11</x:v>
      </x:c>
      <x:c r="G36" t="n">
        <x:f>G29+G30+G31+G35-G32-G33-G34</x:f>
        <x:v>0</x:v>
      </x:c>
      <x:c r="H36" t="n">
        <x:f>H29+H30+H31+H35-H32-H33-H34</x:f>
        <x:v>1.4551915228366852e-11</x:v>
      </x:c>
      <x:c r="I36" t="n">
        <x:f>I29+I30+I31+I35-I32-I33-I34</x:f>
        <x:v>-1.4551915228366852e-11</x:v>
      </x:c>
    </x:row>
  </x:sheetData>
  <x:mergeCells>
    <x:mergeCell ref="A1:I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>
      <x:c r="A1" s="28" t="str">
        <x:v>Discounted Cash Flow — Salesforce, Inc.</x:v>
      </x:c>
      <x:c r="B1" s="30"/>
      <x:c r="C1" s="30"/>
      <x:c r="D1" s="30"/>
      <x:c r="E1" s="30"/>
      <x:c r="F1" s="30"/>
    </x:row>
    <x:row r="3">
      <x:c r="A3" s="15" t="str">
        <x:v>Line Item</x:v>
      </x:c>
      <x:c r="B3" s="15" t="str">
        <x:v>FY2027E</x:v>
      </x:c>
      <x:c r="C3" s="15" t="str">
        <x:v>FY2028E</x:v>
      </x:c>
      <x:c r="D3" s="15" t="str">
        <x:v>FY2029E</x:v>
      </x:c>
      <x:c r="E3" s="15" t="str">
        <x:v>FY2030E</x:v>
      </x:c>
      <x:c r="F3" s="15" t="str">
        <x:v>FY2031E</x:v>
      </x:c>
    </x:row>
    <x:row r="4">
      <x:c r="A4" t="str">
        <x:v>Unlevered FCF</x:v>
      </x:c>
      <x:c r="B4" s="56" t="n">
        <x:f>'Operating Model'!E27</x:f>
        <x:v>13676.217612362501</x:v>
      </x:c>
      <x:c r="C4" s="56" t="n">
        <x:f>'Operating Model'!F27</x:f>
        <x:v>14749.200679572446</x:v>
      </x:c>
      <x:c r="D4" s="56" t="n">
        <x:f>'Operating Model'!G27</x:f>
        <x:v>15722.731000346008</x:v>
      </x:c>
      <x:c r="E4" s="56" t="n">
        <x:f>'Operating Model'!H27</x:f>
        <x:v>16597.541338500792</x:v>
      </x:c>
      <x:c r="F4" s="56" t="n">
        <x:f>'Operating Model'!I27</x:f>
        <x:v>17339.929565488106</x:v>
      </x:c>
    </x:row>
    <x:row r="5">
      <x:c r="A5" t="str">
        <x:v>Discount period</x:v>
      </x:c>
      <x:c r="B5" s="56" t="n">
        <x:v>0.5</x:v>
      </x:c>
      <x:c r="C5" s="56" t="n">
        <x:v>1.5</x:v>
      </x:c>
      <x:c r="D5" s="56" t="n">
        <x:v>2.5</x:v>
      </x:c>
      <x:c r="E5" s="56" t="n">
        <x:v>3.5</x:v>
      </x:c>
      <x:c r="F5" s="56" t="n">
        <x:v>4.5</x:v>
      </x:c>
    </x:row>
    <x:row r="6">
      <x:c r="A6" t="str">
        <x:v>WACC</x:v>
      </x:c>
      <x:c r="B6" s="55" t="n">
        <x:f>Inputs!B15</x:f>
        <x:v>0.085</x:v>
      </x:c>
      <x:c r="C6" s="55" t="n">
        <x:f>Inputs!B15</x:f>
        <x:v>0.085</x:v>
      </x:c>
      <x:c r="D6" s="55" t="n">
        <x:f>Inputs!B15</x:f>
        <x:v>0.085</x:v>
      </x:c>
      <x:c r="E6" s="55" t="n">
        <x:f>Inputs!B15</x:f>
        <x:v>0.085</x:v>
      </x:c>
      <x:c r="F6" s="55" t="n">
        <x:f>Inputs!B15</x:f>
        <x:v>0.085</x:v>
      </x:c>
    </x:row>
    <x:row r="7">
      <x:c r="A7" t="str">
        <x:v>PV factor</x:v>
      </x:c>
      <x:c r="B7" s="55" t="n">
        <x:f>1/(1+B6)^B5</x:f>
        <x:v>0.9600307214746386</x:v>
      </x:c>
      <x:c r="C7" s="55" t="n">
        <x:f>1/(1+C6)^C5</x:f>
        <x:v>0.88482094145128</x:v>
      </x:c>
      <x:c r="D7" s="55" t="n">
        <x:f>1/(1+D6)^D5</x:f>
        <x:v>0.8155031718444976</x:v>
      </x:c>
      <x:c r="E7" s="55" t="n">
        <x:f>1/(1+E6)^E5</x:f>
        <x:v>0.7516158265847905</x:v>
      </x:c>
      <x:c r="F7" s="55" t="n">
        <x:f>1/(1+F6)^F5</x:f>
        <x:v>0.6927334807233092</x:v>
      </x:c>
    </x:row>
    <x:row r="8">
      <x:c r="A8" t="str">
        <x:v>PV of FCF</x:v>
      </x:c>
      <x:c r="B8" s="56" t="n">
        <x:f>B4*B7</x:f>
        <x:v>13129.589061440533</x:v>
      </x:c>
      <x:c r="C8" s="56" t="n">
        <x:f>C4*C7</x:f>
        <x:v>13050.40163095315</x:v>
      </x:c>
      <x:c r="D8" s="56" t="n">
        <x:f>D4*D7</x:f>
        <x:v>12821.93700083998</x:v>
      </x:c>
      <x:c r="E8" s="56" t="n">
        <x:f>E4*E7</x:f>
        <x:v>12474.974752412503</x:v>
      </x:c>
      <x:c r="F8" s="56" t="n">
        <x:f>F4*F7</x:f>
        <x:v>12011.949763397593</x:v>
      </x:c>
    </x:row>
    <x:row r="9">
      <x:c r="A9" t="str">
        <x:v>Terminal value</x:v>
      </x:c>
      <x:c r="B9" s="56" t="str"/>
      <x:c r="C9" s="56" t="str"/>
      <x:c r="D9" s="56" t="str"/>
      <x:c r="E9" s="56" t="str"/>
      <x:c r="F9" s="56" t="n">
        <x:f>F4*(1+Inputs!B16)/(Inputs!B15-Inputs!B16)</x:f>
        <x:v>324729.5900445954</x:v>
      </x:c>
    </x:row>
    <x:row r="10">
      <x:c r="A10" t="str">
        <x:v>PV of terminal value</x:v>
      </x:c>
      <x:c r="B10" s="56" t="str"/>
      <x:c r="C10" s="56" t="str"/>
      <x:c r="D10" s="56" t="str"/>
      <x:c r="E10" s="56" t="str"/>
      <x:c r="F10" s="56" t="n">
        <x:f>F9*F7</x:f>
        <x:v>224951.05920544584</x:v>
      </x:c>
    </x:row>
    <x:row r="11">
      <x:c r="A11" t="str">
        <x:v>Enterprise value</x:v>
      </x:c>
      <x:c r="B11" s="56" t="str"/>
      <x:c r="C11" s="56" t="str"/>
      <x:c r="D11" s="56" t="str"/>
      <x:c r="E11" s="56" t="str"/>
      <x:c r="F11" s="56" t="n">
        <x:f>SUM(B8:F8)+F10</x:f>
        <x:v>288439.9114144896</x:v>
      </x:c>
    </x:row>
    <x:row r="12">
      <x:c r="A12" t="str">
        <x:v>Less: debt</x:v>
      </x:c>
      <x:c r="B12" s="56" t="str"/>
      <x:c r="C12" s="56" t="str"/>
      <x:c r="D12" s="56" t="str"/>
      <x:c r="E12" s="56" t="str"/>
      <x:c r="F12" s="56" t="n">
        <x:f>'Operating Model'!D32</x:f>
        <x:v>24317</x:v>
      </x:c>
    </x:row>
    <x:row r="13">
      <x:c r="A13" t="str">
        <x:v>Add: cash + marketable securities</x:v>
      </x:c>
      <x:c r="B13" s="56" t="str"/>
      <x:c r="C13" s="56" t="str"/>
      <x:c r="D13" s="56" t="str"/>
      <x:c r="E13" s="56" t="str"/>
      <x:c r="F13" s="56" t="n">
        <x:f>'Operating Model'!D28+'Operating Model'!D29</x:f>
        <x:v>7327</x:v>
      </x:c>
    </x:row>
    <x:row r="14">
      <x:c r="A14" t="str">
        <x:v>Equity value</x:v>
      </x:c>
      <x:c r="B14" s="56" t="str"/>
      <x:c r="C14" s="56" t="str"/>
      <x:c r="D14" s="56" t="str"/>
      <x:c r="E14" s="56" t="str"/>
      <x:c r="F14" s="56" t="n">
        <x:f>F11-F12+F13</x:f>
        <x:v>271449.9114144896</x:v>
      </x:c>
    </x:row>
    <x:row r="15">
      <x:c r="A15" t="str">
        <x:v>Diluted shares</x:v>
      </x:c>
      <x:c r="B15" s="56" t="str"/>
      <x:c r="C15" s="56" t="str"/>
      <x:c r="D15" s="56" t="str"/>
      <x:c r="E15" s="56" t="str"/>
      <x:c r="F15" s="56" t="n">
        <x:f>Inputs!B17</x:f>
        <x:v>930</x:v>
      </x:c>
    </x:row>
    <x:row r="16">
      <x:c r="A16" t="str">
        <x:v>Implied share price</x:v>
      </x:c>
      <x:c r="B16" s="56" t="str"/>
      <x:c r="C16" s="56" t="str"/>
      <x:c r="D16" s="56" t="str"/>
      <x:c r="E16" s="56" t="str"/>
      <x:c r="F16" s="56" t="n">
        <x:f>F14/F15</x:f>
        <x:v>291.88162517687056</x:v>
      </x:c>
    </x:row>
    <x:row r="17">
      <x:c r="A17" t="str">
        <x:v>Current share price</x:v>
      </x:c>
      <x:c r="B17" s="56" t="str"/>
      <x:c r="C17" s="56" t="str"/>
      <x:c r="D17" s="56" t="str"/>
      <x:c r="E17" s="56" t="str"/>
      <x:c r="F17" s="56" t="n">
        <x:f>Inputs!B18</x:f>
        <x:v>170</x:v>
      </x:c>
    </x:row>
    <x:row r="18">
      <x:c r="A18" t="str">
        <x:v>Implied upside / downside</x:v>
      </x:c>
      <x:c r="B18" s="56" t="str"/>
      <x:c r="C18" s="56" t="str"/>
      <x:c r="D18" s="56" t="str"/>
      <x:c r="E18" s="56" t="str"/>
      <x:c r="F18" s="55" t="n">
        <x:f>F16/F17-1</x:f>
        <x:v>0.7169507363345327</x:v>
      </x:c>
    </x:row>
    <x:row r="21">
      <x:c r="A21" s="20" t="str">
        <x:v>Share Price Sensitivity — WACC vs Terminal Growth</x:v>
      </x:c>
    </x:row>
    <x:row r="22">
      <x:c r="A22" t="str"/>
      <x:c r="B22" s="50" t="str">
        <x:v>2.0%</x:v>
      </x:c>
      <x:c r="C22" s="50" t="str">
        <x:v>2.5%</x:v>
      </x:c>
      <x:c r="D22" s="50" t="str">
        <x:v>3.0%</x:v>
      </x:c>
      <x:c r="E22" s="50" t="str">
        <x:v>3.5%</x:v>
      </x:c>
      <x:c r="F22" s="50" t="str">
        <x:v>4.0%</x:v>
      </x:c>
    </x:row>
    <x:row r="23">
      <x:c r="A23" s="50" t="str">
        <x:v>7.5%</x:v>
      </x:c>
      <x:c r="B23" s="68" t="e">
        <x:f>(SUM(B8:F8)+('Operating Model'!I27*(1+B$22)/($A23-B$22))/(1+$A23)^4.5-'Operating Model'!D32+'Operating Model'!D28+'Operating Model'!D29)/Inputs!B17</x:f>
      </x:c>
      <x:c r="C23" s="68" t="e">
        <x:f>(SUM(B8:F8)+('Operating Model'!I27*(1+C$22)/($A23-C$22))/(1+$A23)^4.5-'Operating Model'!D32+'Operating Model'!D28+'Operating Model'!D29)/Inputs!B17</x:f>
      </x:c>
      <x:c r="D23" s="68" t="e">
        <x:f>(SUM(B8:F8)+('Operating Model'!I27*(1+D$22)/($A23-D$22))/(1+$A23)^4.5-'Operating Model'!D32+'Operating Model'!D28+'Operating Model'!D29)/Inputs!B17</x:f>
      </x:c>
      <x:c r="E23" s="68" t="e">
        <x:f>(SUM(B8:F8)+('Operating Model'!I27*(1+E$22)/($A23-E$22))/(1+$A23)^4.5-'Operating Model'!D32+'Operating Model'!D28+'Operating Model'!D29)/Inputs!B17</x:f>
      </x:c>
      <x:c r="F23" s="68" t="e">
        <x:f>(SUM(B8:F8)+('Operating Model'!I27*(1+F$22)/($A23-F$22))/(1+$A23)^4.5-'Operating Model'!D32+'Operating Model'!D28+'Operating Model'!D29)/Inputs!B17</x:f>
      </x:c>
    </x:row>
    <x:row r="24">
      <x:c r="A24" s="50" t="str">
        <x:v>8.0%</x:v>
      </x:c>
      <x:c r="B24" s="68" t="e">
        <x:f>(SUM(B8:F8)+('Operating Model'!I27*(1+B$22)/($A24-B$22))/(1+$A24)^4.5-'Operating Model'!D32+'Operating Model'!D28+'Operating Model'!D29)/Inputs!B17</x:f>
      </x:c>
      <x:c r="C24" s="68" t="e">
        <x:f>(SUM(B8:F8)+('Operating Model'!I27*(1+C$22)/($A24-C$22))/(1+$A24)^4.5-'Operating Model'!D32+'Operating Model'!D28+'Operating Model'!D29)/Inputs!B17</x:f>
      </x:c>
      <x:c r="D24" s="68" t="e">
        <x:f>(SUM(B8:F8)+('Operating Model'!I27*(1+D$22)/($A24-D$22))/(1+$A24)^4.5-'Operating Model'!D32+'Operating Model'!D28+'Operating Model'!D29)/Inputs!B17</x:f>
      </x:c>
      <x:c r="E24" s="68" t="e">
        <x:f>(SUM(B8:F8)+('Operating Model'!I27*(1+E$22)/($A24-E$22))/(1+$A24)^4.5-'Operating Model'!D32+'Operating Model'!D28+'Operating Model'!D29)/Inputs!B17</x:f>
      </x:c>
      <x:c r="F24" s="68" t="e">
        <x:f>(SUM(B8:F8)+('Operating Model'!I27*(1+F$22)/($A24-F$22))/(1+$A24)^4.5-'Operating Model'!D32+'Operating Model'!D28+'Operating Model'!D29)/Inputs!B17</x:f>
      </x:c>
    </x:row>
    <x:row r="25">
      <x:c r="A25" s="50" t="str">
        <x:v>8.5%</x:v>
      </x:c>
      <x:c r="B25" s="68" t="e">
        <x:f>(SUM(B8:F8)+('Operating Model'!I27*(1+B$22)/($A25-B$22))/(1+$A25)^4.5-'Operating Model'!D32+'Operating Model'!D28+'Operating Model'!D29)/Inputs!B17</x:f>
      </x:c>
      <x:c r="C25" s="68" t="e">
        <x:f>(SUM(B8:F8)+('Operating Model'!I27*(1+C$22)/($A25-C$22))/(1+$A25)^4.5-'Operating Model'!D32+'Operating Model'!D28+'Operating Model'!D29)/Inputs!B17</x:f>
      </x:c>
      <x:c r="D25" s="68" t="e">
        <x:f>(SUM(B8:F8)+('Operating Model'!I27*(1+D$22)/($A25-D$22))/(1+$A25)^4.5-'Operating Model'!D32+'Operating Model'!D28+'Operating Model'!D29)/Inputs!B17</x:f>
      </x:c>
      <x:c r="E25" s="68" t="e">
        <x:f>(SUM(B8:F8)+('Operating Model'!I27*(1+E$22)/($A25-E$22))/(1+$A25)^4.5-'Operating Model'!D32+'Operating Model'!D28+'Operating Model'!D29)/Inputs!B17</x:f>
      </x:c>
      <x:c r="F25" s="68" t="e">
        <x:f>(SUM(B8:F8)+('Operating Model'!I27*(1+F$22)/($A25-F$22))/(1+$A25)^4.5-'Operating Model'!D32+'Operating Model'!D28+'Operating Model'!D29)/Inputs!B17</x:f>
      </x:c>
    </x:row>
    <x:row r="26">
      <x:c r="A26" s="50" t="str">
        <x:v>9.0%</x:v>
      </x:c>
      <x:c r="B26" s="68" t="e">
        <x:f>(SUM(B8:F8)+('Operating Model'!I27*(1+B$22)/($A26-B$22))/(1+$A26)^4.5-'Operating Model'!D32+'Operating Model'!D28+'Operating Model'!D29)/Inputs!B17</x:f>
      </x:c>
      <x:c r="C26" s="68" t="e">
        <x:f>(SUM(B8:F8)+('Operating Model'!I27*(1+C$22)/($A26-C$22))/(1+$A26)^4.5-'Operating Model'!D32+'Operating Model'!D28+'Operating Model'!D29)/Inputs!B17</x:f>
      </x:c>
      <x:c r="D26" s="68" t="e">
        <x:f>(SUM(B8:F8)+('Operating Model'!I27*(1+D$22)/($A26-D$22))/(1+$A26)^4.5-'Operating Model'!D32+'Operating Model'!D28+'Operating Model'!D29)/Inputs!B17</x:f>
      </x:c>
      <x:c r="E26" s="68" t="e">
        <x:f>(SUM(B8:F8)+('Operating Model'!I27*(1+E$22)/($A26-E$22))/(1+$A26)^4.5-'Operating Model'!D32+'Operating Model'!D28+'Operating Model'!D29)/Inputs!B17</x:f>
      </x:c>
      <x:c r="F26" s="68" t="e">
        <x:f>(SUM(B8:F8)+('Operating Model'!I27*(1+F$22)/($A26-F$22))/(1+$A26)^4.5-'Operating Model'!D32+'Operating Model'!D28+'Operating Model'!D29)/Inputs!B17</x:f>
      </x:c>
    </x:row>
    <x:row r="27">
      <x:c r="A27" s="50" t="str">
        <x:v>9.5%</x:v>
      </x:c>
      <x:c r="B27" s="68" t="e">
        <x:f>(SUM(B8:F8)+('Operating Model'!I27*(1+B$22)/($A27-B$22))/(1+$A27)^4.5-'Operating Model'!D32+'Operating Model'!D28+'Operating Model'!D29)/Inputs!B17</x:f>
      </x:c>
      <x:c r="C27" s="68" t="e">
        <x:f>(SUM(B8:F8)+('Operating Model'!I27*(1+C$22)/($A27-C$22))/(1+$A27)^4.5-'Operating Model'!D32+'Operating Model'!D28+'Operating Model'!D29)/Inputs!B17</x:f>
      </x:c>
      <x:c r="D27" s="68" t="e">
        <x:f>(SUM(B8:F8)+('Operating Model'!I27*(1+D$22)/($A27-D$22))/(1+$A27)^4.5-'Operating Model'!D32+'Operating Model'!D28+'Operating Model'!D29)/Inputs!B17</x:f>
      </x:c>
      <x:c r="E27" s="68" t="e">
        <x:f>(SUM(B8:F8)+('Operating Model'!I27*(1+E$22)/($A27-E$22))/(1+$A27)^4.5-'Operating Model'!D32+'Operating Model'!D28+'Operating Model'!D29)/Inputs!B17</x:f>
      </x:c>
      <x:c r="F27" s="68" t="e">
        <x:f>(SUM(B8:F8)+('Operating Model'!I27*(1+F$22)/($A27-F$22))/(1+$A27)^4.5-'Operating Model'!D32+'Operating Model'!D28+'Operating Model'!D29)/Inputs!B17</x:f>
      </x:c>
    </x:row>
  </x:sheetData>
  <x:mergeCells>
    <x:mergeCell ref="A1:H1"/>
    <x:mergeCell ref="A21:F2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hidden="0" customWidth="1"/>
    <x:col min="5" max="5" width="12" hidden="0" customWidth="1"/>
  </x:cols>
  <x:sheetData>
    <x:row r="1">
      <x:c r="A1" s="24" t="str">
        <x:v>QA Checks — Salesforce Model</x:v>
      </x:c>
      <x:c r="B1" s="70"/>
      <x:c r="C1" s="70"/>
      <x:c r="D1" s="70"/>
    </x:row>
    <x:row r="3">
      <x:c r="A3" s="15" t="str">
        <x:v>Check</x:v>
      </x:c>
      <x:c r="B3" s="15" t="str">
        <x:v>FY2024A</x:v>
      </x:c>
      <x:c r="C3" s="15" t="str">
        <x:v>FY2025A</x:v>
      </x:c>
      <x:c r="D3" s="15" t="str">
        <x:v>FY2026A</x:v>
      </x:c>
      <x:c r="E3" s="15" t="str">
        <x:v>Status</x:v>
      </x:c>
    </x:row>
    <x:row r="4">
      <x:c r="A4" t="str">
        <x:v>Revenue ties to filing</x:v>
      </x:c>
      <x:c r="B4" t="n">
        <x:f>'Historical Actuals'!B7-'Operating Model'!B7</x:f>
        <x:v>0</x:v>
      </x:c>
      <x:c r="C4" t="n">
        <x:f>'Historical Actuals'!C7-'Operating Model'!C7</x:f>
        <x:v>0</x:v>
      </x:c>
      <x:c r="D4" t="n">
        <x:f>'Historical Actuals'!D7-'Operating Model'!D7</x:f>
        <x:v>0</x:v>
      </x:c>
      <x:c r="E4" t="e">
        <x:f>IF(SUM(ABS(B4:D4))=0,"PASS","FAIL")</x:f>
      </x:c>
    </x:row>
    <x:row r="5">
      <x:c r="A5" t="str">
        <x:v>Operating income ties to filing</x:v>
      </x:c>
      <x:c r="B5" t="n">
        <x:f>'Historical Actuals'!B17-'Operating Model'!B17</x:f>
        <x:v>0</x:v>
      </x:c>
      <x:c r="C5" t="n">
        <x:f>'Historical Actuals'!C17-'Operating Model'!C17</x:f>
        <x:v>0</x:v>
      </x:c>
      <x:c r="D5" t="n">
        <x:f>'Historical Actuals'!D17-'Operating Model'!D17</x:f>
        <x:v>0</x:v>
      </x:c>
      <x:c r="E5" t="e">
        <x:f>IF(SUM(ABS(B5:D5))=0,"PASS","FAIL")</x:f>
      </x:c>
    </x:row>
    <x:row r="6">
      <x:c r="A6" t="str">
        <x:v>Net income ties to filing</x:v>
      </x:c>
      <x:c r="B6" t="n">
        <x:f>'Historical Actuals'!B22-'Operating Model'!B20</x:f>
        <x:v>0</x:v>
      </x:c>
      <x:c r="C6" t="n">
        <x:f>'Historical Actuals'!C22-'Operating Model'!C20</x:f>
        <x:v>0</x:v>
      </x:c>
      <x:c r="D6" t="n">
        <x:f>'Historical Actuals'!D22-'Operating Model'!D20</x:f>
        <x:v>0</x:v>
      </x:c>
      <x:c r="E6" t="e">
        <x:f>IF(SUM(ABS(B6:D6))=0,"PASS","FAIL")</x:f>
      </x:c>
    </x:row>
    <x:row r="7">
      <x:c r="A7" t="str">
        <x:v>Cash ties to balance sheet</x:v>
      </x:c>
      <x:c r="B7" t="n">
        <x:f>'Historical Actuals'!B25-'Operating Model'!B29</x:f>
        <x:v>0</x:v>
      </x:c>
      <x:c r="C7" t="n">
        <x:f>'Historical Actuals'!C25-'Operating Model'!C29</x:f>
        <x:v>0</x:v>
      </x:c>
      <x:c r="D7" t="n">
        <x:f>'Historical Actuals'!D25-'Operating Model'!D29</x:f>
        <x:v>0</x:v>
      </x:c>
      <x:c r="E7" t="e">
        <x:f>IF(SUM(ABS(B7:D7))=0,"PASS","FAIL")</x:f>
      </x:c>
    </x:row>
    <x:row r="8">
      <x:c r="A8" t="str">
        <x:v>Debt ties to balance sheet</x:v>
      </x:c>
      <x:c r="B8" t="n">
        <x:f>('Historical Actuals'!B42+'Historical Actuals'!B44)-'Operating Model'!B33</x:f>
        <x:v>0</x:v>
      </x:c>
      <x:c r="C8" t="n">
        <x:f>('Historical Actuals'!C42+'Historical Actuals'!C44)-'Operating Model'!C33</x:f>
        <x:v>0</x:v>
      </x:c>
      <x:c r="D8" t="n">
        <x:f>('Historical Actuals'!D42+'Historical Actuals'!D44)-'Operating Model'!D33</x:f>
        <x:v>0</x:v>
      </x:c>
      <x:c r="E8" t="e">
        <x:f>IF(SUM(ABS(B8:D8))=0,"PASS","FAIL")</x:f>
      </x:c>
    </x:row>
    <x:row r="9">
      <x:c r="A9" t="str">
        <x:v>Cash flow ending cash ties</x:v>
      </x:c>
      <x:c r="B9" t="n">
        <x:f>'Historical Actuals'!B69-'Operating Model'!B29</x:f>
        <x:v>0</x:v>
      </x:c>
      <x:c r="C9" t="n">
        <x:f>'Historical Actuals'!C69-'Operating Model'!C29</x:f>
        <x:v>0</x:v>
      </x:c>
      <x:c r="D9" t="n">
        <x:f>'Historical Actuals'!D69-'Operating Model'!D29</x:f>
        <x:v>0</x:v>
      </x:c>
      <x:c r="E9" t="e">
        <x:f>IF(SUM(ABS(B9:D9))=0,"PASS","FAIL")</x:f>
      </x:c>
    </x:row>
    <x:row r="10">
      <x:c r="A10" t="str">
        <x:v>Historical balance check</x:v>
      </x:c>
      <x:c r="B10" t="n">
        <x:f>'Historical Actuals'!B38-'Historical Actuals'!B49</x:f>
        <x:v>0</x:v>
      </x:c>
      <x:c r="C10" t="n">
        <x:f>'Historical Actuals'!C38-'Historical Actuals'!C49</x:f>
        <x:v>0</x:v>
      </x:c>
      <x:c r="D10" t="n">
        <x:f>'Historical Actuals'!D38-'Historical Actuals'!D49</x:f>
        <x:v>0</x:v>
      </x:c>
      <x:c r="E10" t="e">
        <x:f>IF(SUM(ABS(B10:D10))=0,"PASS","FAIL")</x:f>
      </x:c>
    </x:row>
    <x:row r="11">
      <x:c r="A11" t="str">
        <x:v>Forecast balance check</x:v>
      </x:c>
      <x:c r="B11" t="str"/>
      <x:c r="C11" t="str"/>
      <x:c r="D11" t="str"/>
      <x:c r="E11" t="e">
        <x:f>IF(SUM(ABS('Operating Model'!E36:I36))&lt;1,"PASS","FAIL")</x:f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sheetData>
    <x:row r="1">
      <x:c r="A1" s="22" t="str">
        <x:v>Source ID</x:v>
      </x:c>
      <x:c r="B1" s="22" t="str">
        <x:v>Document</x:v>
      </x:c>
      <x:c r="C1" s="22" t="str">
        <x:v>URL</x:v>
      </x:c>
      <x:c r="D1" s="22" t="str">
        <x:v>Relevant Lines / Usage</x:v>
      </x:c>
    </x:row>
    <x:row r="2">
      <x:c r="A2" t="str">
        <x:v>CRM FY2026 10-K</x:v>
      </x:c>
      <x:c r="B2" t="str">
        <x:v>Salesforce FY2026 Form 10-K (period ended Jan. 31, 2026)</x:v>
      </x:c>
      <x:c r="C2" t="str">
        <x:v>https://www.sec.gov/Archives/edgar/data/1108524/000110852426000060/crm-20260131.htm</x:v>
      </x:c>
      <x:c r="D2" t="str">
        <x:v>FY2026/FY2025 balance sheet; FY2026/FY2025/FY2024 income statement and cash flow; revenue mix; SBC/amortization</x:v>
      </x:c>
    </x:row>
    <x:row r="3">
      <x:c r="A3" t="str">
        <x:v>CRM FY2025 10-K</x:v>
      </x:c>
      <x:c r="B3" t="str">
        <x:v>Salesforce FY2025 Form 10-K (period ended Jan. 31, 2025)</x:v>
      </x:c>
      <x:c r="C3" t="str">
        <x:v>https://www.sec.gov/Archives/edgar/data/1108524/000110852425000006/crm-20250131.htm</x:v>
      </x:c>
      <x:c r="D3" t="str">
        <x:v>FY2024 balance sheet; FY2025/FY2024/FY2023 comparison support</x:v>
      </x:c>
    </x:row>
    <x:row r="4">
      <x:c r="A4" t="str">
        <x:v>SEC Filing Index</x:v>
      </x:c>
      <x:c r="B4" t="str">
        <x:v>EDGAR Filing Documents for 0001108524-26-000060</x:v>
      </x:c>
      <x:c r="C4" t="str">
        <x:v>https://www.sec.gov/Archives/edgar/data/1108524/0001108524-26-000060-index.htm</x:v>
      </x:c>
      <x:c r="D4" t="str">
        <x:v>Confirms 10-K accession and filing details</x:v>
      </x:c>
    </x:row>
  </x:sheetData>
  <x:pageMargins left="0.7" right="0.7" top="0.75" bottom="0.75" header="0.3" footer="0.3"/>
</x:worksheet>
</file>