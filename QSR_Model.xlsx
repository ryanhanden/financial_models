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_Financials" sheetId="2" state="visible" r:id="rId4"/>
    <sheet name="Segment_Detail" sheetId="3" state="visible" r:id="rId5"/>
    <sheet name="Assumptions" sheetId="4" state="visible" r:id="rId6"/>
    <sheet name="Forecast_Model" sheetId="5" state="visible" r:id="rId7"/>
    <sheet name="DCF" sheetId="6" state="visible" r:id="rId8"/>
    <sheet name="Sources" sheetId="7" state="visible" r:id="rId9"/>
    <sheet name="QA_Checks" sheetId="8" state="visible" r:id="rId10"/>
  </sheets>
  <definedNames>
    <definedName function="false" hidden="false" localSheetId="3" name="_xlnm.Print_Area" vbProcedure="false">Assumptions!$A$1:$H$11</definedName>
    <definedName function="false" hidden="false" localSheetId="0" name="_xlnm.Print_Area" vbProcedure="false">Cover!$A$1:$B$17</definedName>
    <definedName function="false" hidden="false" localSheetId="5" name="_xlnm.Print_Area" vbProcedure="false">DCF!$A$1:$G$28</definedName>
    <definedName function="false" hidden="false" localSheetId="4" name="_xlnm.Print_Area" vbProcedure="false">Forecast_Model!$A$1:$H$17</definedName>
    <definedName function="false" hidden="false" localSheetId="1" name="_xlnm.Print_Area" vbProcedure="false">Historical_Financials!$A$1:$E$105</definedName>
    <definedName function="false" hidden="false" localSheetId="7" name="_xlnm.Print_Area" vbProcedure="false">QA_Checks!$A$1:$E$12</definedName>
    <definedName function="false" hidden="false" localSheetId="2" name="_xlnm.Print_Area" vbProcedure="false">Segment_Detail!$A$1:$E$23</definedName>
    <definedName function="false" hidden="false" localSheetId="6" name="_xlnm.Print_Area" vbProcedure="false">Sources!$A$1:$E$8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<sst xmlns="http://schemas.openxmlformats.org/spreadsheetml/2006/main" count="423" uniqueCount="263">
  <si>
    <t xml:space="preserve">Restaurant Brands International (QSR) — Banker-Final EDGAR-Tied Model</t>
  </si>
  <si>
    <t xml:space="preserve">Company</t>
  </si>
  <si>
    <t xml:space="preserve">Restaurant Brands International Limited Partnership</t>
  </si>
  <si>
    <t xml:space="preserve">Ticker</t>
  </si>
  <si>
    <t xml:space="preserve">QSR</t>
  </si>
  <si>
    <t xml:space="preserve">Currency / Units</t>
  </si>
  <si>
    <t xml:space="preserve">USD $mm except per-unit data</t>
  </si>
  <si>
    <t xml:space="preserve">Historical period</t>
  </si>
  <si>
    <t xml:space="preserve">FY2023A–FY2025A</t>
  </si>
  <si>
    <t xml:space="preserve">Forecast period</t>
  </si>
  <si>
    <t xml:space="preserve">FY2026E–FY2030E</t>
  </si>
  <si>
    <t xml:space="preserve">Primary source</t>
  </si>
  <si>
    <t xml:space="preserve">EDGAR Form 10-K filed February 20, 2026</t>
  </si>
  <si>
    <t xml:space="preserve">Modeling standard</t>
  </si>
  <si>
    <t xml:space="preserve">Historical hardcodes from SEC filings; forecasts are assumptions/formulas</t>
  </si>
  <si>
    <t xml:space="preserve">Prepared for</t>
  </si>
  <si>
    <t xml:space="preserve">Ryan Anden Financial Modeling Portfolio</t>
  </si>
  <si>
    <t xml:space="preserve">Last updated</t>
  </si>
  <si>
    <t xml:space="preserve">2026-06-24</t>
  </si>
  <si>
    <t xml:space="preserve">Status</t>
  </si>
  <si>
    <t xml:space="preserve">QSR model built; source map and QA included</t>
  </si>
  <si>
    <t xml:space="preserve">Color Convention: Blue = hardcoded historicals / assumptions; Green = linked from other worksheet; Black = formulas. Yellow fill = key assumption cells.</t>
  </si>
  <si>
    <t xml:space="preserve">Investment/Model Thesis</t>
  </si>
  <si>
    <t xml:space="preserve">QSR is modeled as a franchisor-heavy quick service restaurant platform with meaningful revenue mix complexity from Tim Hortons supply chain sales, company restaurant sales from Restaurant Holdings, franchise/property revenues, advertising funds, and high leverage. Historical actuals are tied to the FY2025 and FY2024 Form 10-Ks; DCF outputs depend on explicit revenue growth, operating margin, tax, capex, and terminal assumptions.</t>
  </si>
  <si>
    <t xml:space="preserve">Historical Financials — EDGAR-Tied Actuals ($mm)</t>
  </si>
  <si>
    <t xml:space="preserve">Income Statement ($mm)</t>
  </si>
  <si>
    <t xml:space="preserve">2023A</t>
  </si>
  <si>
    <t xml:space="preserve">2024A</t>
  </si>
  <si>
    <t xml:space="preserve">2025A</t>
  </si>
  <si>
    <t xml:space="preserve">Source / Note</t>
  </si>
  <si>
    <t xml:space="preserve">Supply chain sales</t>
  </si>
  <si>
    <t xml:space="preserve">FY2025 10-K; Statements of Operations</t>
  </si>
  <si>
    <t xml:space="preserve">Company restaurant sales</t>
  </si>
  <si>
    <t xml:space="preserve">Franchise and property revenues</t>
  </si>
  <si>
    <t xml:space="preserve">Advertising revenues and other services</t>
  </si>
  <si>
    <t xml:space="preserve">Total revenues</t>
  </si>
  <si>
    <t xml:space="preserve">Supply chain cost of sales</t>
  </si>
  <si>
    <t xml:space="preserve">Company restaurant expenses</t>
  </si>
  <si>
    <t xml:space="preserve">Franchise and property expenses</t>
  </si>
  <si>
    <t xml:space="preserve">Advertising expenses and other services</t>
  </si>
  <si>
    <t xml:space="preserve">General and administrative expenses</t>
  </si>
  <si>
    <t xml:space="preserve">(Income) loss from equity method investments</t>
  </si>
  <si>
    <t xml:space="preserve">Other operating expenses (income), net</t>
  </si>
  <si>
    <t xml:space="preserve">Total operating costs and expenses</t>
  </si>
  <si>
    <t xml:space="preserve">Income from operations</t>
  </si>
  <si>
    <t xml:space="preserve">Interest expense, net</t>
  </si>
  <si>
    <t xml:space="preserve">Loss on early extinguishment of debt</t>
  </si>
  <si>
    <t xml:space="preserve">Income from continuing operations before income taxes</t>
  </si>
  <si>
    <t xml:space="preserve">Income tax expense (benefit) from continuing operations</t>
  </si>
  <si>
    <t xml:space="preserve">Net income from continuing operations</t>
  </si>
  <si>
    <t xml:space="preserve">Net loss from discontinued operations</t>
  </si>
  <si>
    <t xml:space="preserve">Net income</t>
  </si>
  <si>
    <t xml:space="preserve">Net income attributable to noncontrolling interests</t>
  </si>
  <si>
    <t xml:space="preserve">Net income attributable to common unitholders</t>
  </si>
  <si>
    <t xml:space="preserve">Weighted average Class A common units</t>
  </si>
  <si>
    <t xml:space="preserve">Weighted average Partnership exchangeable units</t>
  </si>
  <si>
    <t xml:space="preserve">Balance Sheet ($mm)</t>
  </si>
  <si>
    <t xml:space="preserve">Cash and cash equivalents</t>
  </si>
  <si>
    <t xml:space="preserve">FY2025 10-K for 2024A/2025A; FY2024 10-K for 2023A</t>
  </si>
  <si>
    <t xml:space="preserve">Accounts and notes receivable, net</t>
  </si>
  <si>
    <t xml:space="preserve">Inventories, net</t>
  </si>
  <si>
    <t xml:space="preserve">Prepaids and other current assets</t>
  </si>
  <si>
    <t xml:space="preserve">Assets held for sale - discontinued operations</t>
  </si>
  <si>
    <t xml:space="preserve">Total current assets</t>
  </si>
  <si>
    <t xml:space="preserve">Property and equipment, net</t>
  </si>
  <si>
    <t xml:space="preserve">Operating lease assets, net</t>
  </si>
  <si>
    <t xml:space="preserve">Intangible assets, net</t>
  </si>
  <si>
    <t xml:space="preserve">Goodwill</t>
  </si>
  <si>
    <t xml:space="preserve">Other assets, net</t>
  </si>
  <si>
    <t xml:space="preserve">Total assets</t>
  </si>
  <si>
    <t xml:space="preserve">Accounts and drafts payable</t>
  </si>
  <si>
    <t xml:space="preserve">Other accrued liabilities</t>
  </si>
  <si>
    <t xml:space="preserve">Gift card liability</t>
  </si>
  <si>
    <t xml:space="preserve">Current portion of long-term debt and finance leases</t>
  </si>
  <si>
    <t xml:space="preserve">Liabilities held for sale - discontinued operations</t>
  </si>
  <si>
    <t xml:space="preserve">Total current liabilities</t>
  </si>
  <si>
    <t xml:space="preserve">Long-term debt, net of current portion</t>
  </si>
  <si>
    <t xml:space="preserve">Finance leases, net of current portion</t>
  </si>
  <si>
    <t xml:space="preserve">Operating lease liabilities, net of current portion</t>
  </si>
  <si>
    <t xml:space="preserve">Other liabilities, net</t>
  </si>
  <si>
    <t xml:space="preserve">Deferred income taxes, net</t>
  </si>
  <si>
    <t xml:space="preserve">Total liabilities</t>
  </si>
  <si>
    <t xml:space="preserve">Class A common units</t>
  </si>
  <si>
    <t xml:space="preserve">Partnership exchangeable units</t>
  </si>
  <si>
    <t xml:space="preserve">Accumulated other comprehensive income (loss)</t>
  </si>
  <si>
    <t xml:space="preserve">Total Partners’ capital</t>
  </si>
  <si>
    <t xml:space="preserve">Noncontrolling interests</t>
  </si>
  <si>
    <t xml:space="preserve">Total equity</t>
  </si>
  <si>
    <t xml:space="preserve">Total liabilities and equity</t>
  </si>
  <si>
    <t xml:space="preserve">Cash Flow Statement ($mm)</t>
  </si>
  <si>
    <t xml:space="preserve">FY2025 10-K; Statements of Cash Flows</t>
  </si>
  <si>
    <t xml:space="preserve">Depreciation and amortization</t>
  </si>
  <si>
    <t xml:space="preserve">Non-cash loss on early extinguishment of debt</t>
  </si>
  <si>
    <t xml:space="preserve">Amortization of deferred financing costs and debt issuance discount</t>
  </si>
  <si>
    <t xml:space="preserve">Loss (gain) on remeasurement of foreign denominated transactions</t>
  </si>
  <si>
    <t xml:space="preserve">Net (gains) losses on derivatives</t>
  </si>
  <si>
    <t xml:space="preserve">Share-based compensation and non-cash incentive compensation expense</t>
  </si>
  <si>
    <t xml:space="preserve">Deferred income taxes</t>
  </si>
  <si>
    <t xml:space="preserve">Other non-cash adjustments, net</t>
  </si>
  <si>
    <t xml:space="preserve">Accounts and notes receivable</t>
  </si>
  <si>
    <t xml:space="preserve">Inventories and prepaids and other current assets</t>
  </si>
  <si>
    <t xml:space="preserve">Other accrued liabilities and gift card liability</t>
  </si>
  <si>
    <t xml:space="preserve">Tenant inducements paid to franchisees</t>
  </si>
  <si>
    <t xml:space="preserve">Changes in other long-term assets and liabilities</t>
  </si>
  <si>
    <t xml:space="preserve">Net cash provided by operating activities</t>
  </si>
  <si>
    <t xml:space="preserve">Payments for additions of property and equipment</t>
  </si>
  <si>
    <t xml:space="preserve">Net proceeds from disposal of assets, restaurant closures and refranchisings</t>
  </si>
  <si>
    <t xml:space="preserve">Net payments for acquisition of franchised restaurants, net of cash acquired</t>
  </si>
  <si>
    <t xml:space="preserve">Settlement/sale of derivatives, net</t>
  </si>
  <si>
    <t xml:space="preserve">Other investing activities, net</t>
  </si>
  <si>
    <t xml:space="preserve">Net cash (used for) provided by investing activities</t>
  </si>
  <si>
    <t xml:space="preserve">Proceeds from long-term debt</t>
  </si>
  <si>
    <t xml:space="preserve">Repayments of long-term debt and finance leases</t>
  </si>
  <si>
    <t xml:space="preserve">Payment of financing costs</t>
  </si>
  <si>
    <t xml:space="preserve">Distributions on Class A common units and Partnership exchangeable units</t>
  </si>
  <si>
    <t xml:space="preserve">Distributions to RBI for repurchase of RBI common shares</t>
  </si>
  <si>
    <t xml:space="preserve">Capital contribution from RBI</t>
  </si>
  <si>
    <t xml:space="preserve">Proceeds from derivatives</t>
  </si>
  <si>
    <t xml:space="preserve">Other financing activities, net</t>
  </si>
  <si>
    <t xml:space="preserve">Net cash used for financing activities</t>
  </si>
  <si>
    <t xml:space="preserve">Net cash used for discontinued operations</t>
  </si>
  <si>
    <t xml:space="preserve">Effect of exchange rates on cash and cash equivalents</t>
  </si>
  <si>
    <t xml:space="preserve">Increase (decrease) in cash and cash equivalents</t>
  </si>
  <si>
    <t xml:space="preserve">Cash and cash equivalents at beginning of period</t>
  </si>
  <si>
    <t xml:space="preserve">Cash and cash equivalents at end of period</t>
  </si>
  <si>
    <t xml:space="preserve">Free cash flow (CFO - capex)</t>
  </si>
  <si>
    <t xml:space="preserve">Segment Detail — QSR Revenue Mix and Operating Drivers ($mm except restaurant count)</t>
  </si>
  <si>
    <t xml:space="preserve">2025 Segment</t>
  </si>
  <si>
    <t xml:space="preserve">System-wide Sales</t>
  </si>
  <si>
    <t xml:space="preserve">Revenue</t>
  </si>
  <si>
    <t xml:space="preserve">Adjusted Operating Income</t>
  </si>
  <si>
    <t xml:space="preserve">System Restaurant Count</t>
  </si>
  <si>
    <t xml:space="preserve">TH</t>
  </si>
  <si>
    <t xml:space="preserve">BK</t>
  </si>
  <si>
    <t xml:space="preserve">PLK</t>
  </si>
  <si>
    <t xml:space="preserve">FHS</t>
  </si>
  <si>
    <t xml:space="preserve">INTL</t>
  </si>
  <si>
    <t xml:space="preserve">RH</t>
  </si>
  <si>
    <t xml:space="preserve">Eliminations</t>
  </si>
  <si>
    <t xml:space="preserve">Total</t>
  </si>
  <si>
    <t xml:space="preserve">2024 Segment</t>
  </si>
  <si>
    <t xml:space="preserve">Notes: RH system-wide sales is not presented in the same way as franchisor brand system-wide sales in the model; total system-wide sales shown here sums disclosed brand-level rows where available. Segment revenue reconciles to consolidated revenue after eliminations.</t>
  </si>
  <si>
    <t xml:space="preserve">Forecast Assumptions — QSR</t>
  </si>
  <si>
    <t xml:space="preserve">Assumption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</si>
  <si>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</si>
  <si>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</si>
  <si>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</si>
  <si>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</si>
  <si>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</si>
  <si>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Rationale</t>
  </si>
  <si>
    <t xml:space="preserve">Revenue growth</t>
  </si>
  <si>
    <t xml:space="preserve">Moderating growth from system-wide sales, franchise/property revenue, and RH normalization</t>
  </si>
  <si>
    <t xml:space="preserve">Operating margin</t>
  </si>
  <si>
    <t xml:space="preserve">Gradual margin recovery from 2025 after FX/transaction noise</t>
  </si>
  <si>
    <t xml:space="preserve">Cash tax rate</t>
  </si>
  <si>
    <t xml:space="preserve">Normalized long-run cash tax rate; 2025 effective rate was 28.7%</t>
  </si>
  <si>
    <t xml:space="preserve">D&amp;A as % of revenue</t>
  </si>
  <si>
    <t xml:space="preserve">Historical D&amp;A / revenue with modest operating leverage</t>
  </si>
  <si>
    <t xml:space="preserve">Capex as % of revenue</t>
  </si>
  <si>
    <t xml:space="preserve">Capex intensity based on recent capex; includes company restaurant base</t>
  </si>
  <si>
    <t xml:space="preserve">NWC investment as % of revenue growth</t>
  </si>
  <si>
    <t xml:space="preserve">Simplified working-capital investment on incremental revenue</t>
  </si>
  <si>
    <t xml:space="preserve">WACC</t>
  </si>
  <si>
    <t xml:space="preserve">DCF discount rate assumption</t>
  </si>
  <si>
    <t xml:space="preserve">Terminal growth</t>
  </si>
  <si>
    <t xml:space="preserve">Long-run mature franchisor growth assumption</t>
  </si>
  <si>
    <t xml:space="preserve">Forecast Model — Formula Driven ($mm)</t>
  </si>
  <si>
    <t xml:space="preserve">Metric</t>
  </si>
  <si>
    <t xml:space="preserve">Source / Linkage</t>
  </si>
  <si>
    <t xml:space="preserve">2025A from 10-K; forecast growth assumptions</t>
  </si>
  <si>
    <t xml:space="preserve">Formula</t>
  </si>
  <si>
    <t xml:space="preserve">Operating income</t>
  </si>
  <si>
    <t xml:space="preserve">2025A from 10-K; forecast margin assumptions</t>
  </si>
  <si>
    <t xml:space="preserve">Tax expense</t>
  </si>
  <si>
    <t xml:space="preserve">Cash tax assumption</t>
  </si>
  <si>
    <t xml:space="preserve">NOPAT</t>
  </si>
  <si>
    <t xml:space="preserve">D&amp;A</t>
  </si>
  <si>
    <t xml:space="preserve">Forecast % of revenue</t>
  </si>
  <si>
    <t xml:space="preserve">Capex</t>
  </si>
  <si>
    <t xml:space="preserve">Change in NWC</t>
  </si>
  <si>
    <t xml:space="preserve">Simplified NWC investment on incremental revenue</t>
  </si>
  <si>
    <t xml:space="preserve">Unlevered FCF</t>
  </si>
  <si>
    <t xml:space="preserve">Ending cash</t>
  </si>
  <si>
    <t xml:space="preserve">Simple cash bridge from FCF</t>
  </si>
  <si>
    <t xml:space="preserve">Debt + finance leases</t>
  </si>
  <si>
    <t xml:space="preserve">Held flat for forecast simplification</t>
  </si>
  <si>
    <t xml:space="preserve">Forecast balancing item / other net assets</t>
  </si>
  <si>
    <t xml:space="preserve">Explicitly labeled forecast balancing item only</t>
  </si>
  <si>
    <t xml:space="preserve">Balance check</t>
  </si>
  <si>
    <t xml:space="preserve">Should equal zero</t>
  </si>
  <si>
    <t xml:space="preserve">DCF Valuation — QSR ($mm except per-unit values)</t>
  </si>
  <si>
    <t xml:space="preserve">Source / Formula</t>
  </si>
  <si>
    <t xml:space="preserve">From Forecast_Model</t>
  </si>
  <si>
    <t xml:space="preserve">Discount period</t>
  </si>
  <si>
    <t xml:space="preserve">Mid-year convention</t>
  </si>
  <si>
    <t xml:space="preserve">Discount factor</t>
  </si>
  <si>
    <t xml:space="preserve">PV of FCF</t>
  </si>
  <si>
    <t xml:space="preserve">Valuation Summary</t>
  </si>
  <si>
    <t xml:space="preserve">Value</t>
  </si>
  <si>
    <t xml:space="preserve">Formula / Source</t>
  </si>
  <si>
    <t xml:space="preserve">PV of explicit FCF</t>
  </si>
  <si>
    <t xml:space="preserve">Sum of PV of FCF</t>
  </si>
  <si>
    <t xml:space="preserve">Terminal FCF</t>
  </si>
  <si>
    <t xml:space="preserve">2030E FCF grown by terminal growth</t>
  </si>
  <si>
    <t xml:space="preserve">Terminal value</t>
  </si>
  <si>
    <t xml:space="preserve">Gordon Growth TV</t>
  </si>
  <si>
    <t xml:space="preserve">PV of terminal value</t>
  </si>
  <si>
    <t xml:space="preserve">Discounted terminal value</t>
  </si>
  <si>
    <t xml:space="preserve">Enterprise value</t>
  </si>
  <si>
    <t xml:space="preserve">PV of FCF + PV of TV</t>
  </si>
  <si>
    <t xml:space="preserve">Less: debt + finance leases</t>
  </si>
  <si>
    <t xml:space="preserve">2025A debt and finance leases</t>
  </si>
  <si>
    <t xml:space="preserve">Add: cash</t>
  </si>
  <si>
    <t xml:space="preserve">2025A cash and cash equivalents</t>
  </si>
  <si>
    <t xml:space="preserve">Equity value</t>
  </si>
  <si>
    <t xml:space="preserve">EV - debt + cash</t>
  </si>
  <si>
    <t xml:space="preserve">Diluted units outstanding</t>
  </si>
  <si>
    <t xml:space="preserve">Class A + exchangeable WA units</t>
  </si>
  <si>
    <t xml:space="preserve">Implied value per unit</t>
  </si>
  <si>
    <t xml:space="preserve">Equity value / diluted units</t>
  </si>
  <si>
    <t xml:space="preserve">WACC / Terminal Growth Sensitivity — Implied Value Per Unit</t>
  </si>
  <si>
    <t xml:space="preserve">WACC \ g</t>
  </si>
  <si>
    <t xml:space="preserve">1.5%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</si>
  <si>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</si>
  <si>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</si>
  <si>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</si>
  <si>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</si>
  <si>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</si>
  <si>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Source Map</t>
  </si>
  <si>
    <t xml:space="preserve">Source</t>
  </si>
  <si>
    <t xml:space="preserve">Filing / page</t>
  </si>
  <si>
    <t xml:space="preserve">Used for</t>
  </si>
  <si>
    <t xml:space="preserve">URL</t>
  </si>
  <si>
    <t xml:space="preserve">Notes</t>
  </si>
  <si>
    <t xml:space="preserve">RBI FY2025 Form 10-K</t>
  </si>
  <si>
    <t xml:space="preserve">Consolidated Statements of Operations</t>
  </si>
  <si>
    <t xml:space="preserve">2023A–2025A income statement actuals</t>
  </si>
  <si>
    <t xml:space="preserve">https://www.sec.gov/Archives/edgar/data/1618755/000161875526000009/qsr-20251231.htm</t>
  </si>
  <si>
    <t xml:space="preserve">Lines 1863–1905</t>
  </si>
  <si>
    <t xml:space="preserve">Consolidated Balance Sheets</t>
  </si>
  <si>
    <t xml:space="preserve">2024A–2025A balance sheet actuals</t>
  </si>
  <si>
    <t xml:space="preserve">Lines 1797–1849</t>
  </si>
  <si>
    <t xml:space="preserve">RBI FY2024 Form 10-K</t>
  </si>
  <si>
    <t xml:space="preserve">2023A balance sheet actuals</t>
  </si>
  <si>
    <t xml:space="preserve">https://www.sec.gov/Archives/edgar/data/1618755/000161875525000010/qsr-20241231.htm</t>
  </si>
  <si>
    <t xml:space="preserve">Lines 1895–1943 and 3591–3632</t>
  </si>
  <si>
    <t xml:space="preserve">Consolidated Statements of Cash Flows</t>
  </si>
  <si>
    <t xml:space="preserve">2023A–2025A cash flow actuals</t>
  </si>
  <si>
    <t xml:space="preserve">Lines 2011–2061</t>
  </si>
  <si>
    <t xml:space="preserve">Segment Results / Revenue Recognition</t>
  </si>
  <si>
    <t xml:space="preserve">2024A–2025A segment and revenue mix detail</t>
  </si>
  <si>
    <t xml:space="preserve">Lines 1113–1339 and 2498–2519</t>
  </si>
  <si>
    <t xml:space="preserve">QA Checks</t>
  </si>
  <si>
    <t xml:space="preserve">Check</t>
  </si>
  <si>
    <t xml:space="preserve">Revenue tie-out</t>
  </si>
  <si>
    <t xml:space="preserve">Operating income tie-out</t>
  </si>
  <si>
    <t xml:space="preserve">Net income attributable tie-out</t>
  </si>
  <si>
    <t xml:space="preserve">Balance sheet actual check</t>
  </si>
  <si>
    <t xml:space="preserve">Cash flow ending cash tie-out</t>
  </si>
  <si>
    <t xml:space="preserve">Forecast balance check</t>
  </si>
  <si>
    <t xml:space="preserve">Formula error scan</t>
  </si>
  <si>
    <t xml:space="preserve">No formula errors in key build ranges at export</t>
  </si>
  <si>
    <t xml:space="preserve">Modeling note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</si>
</sst>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;[RED]\(#,##0\);\-"/>
    <numFmt numFmtId="167" formatCode="0.0%;[RED]\(0.0%\);\-"/>
    <numFmt numFmtId="168" formatCode="\$0.00;[RED]&quot;($&quot;0.00\);\-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/>
    <row r="3" customFormat="false" ht="18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18" hidden="false" customHeight="true" outlineLevel="0" collapsed="false">
      <c r="A5" s="2" t="s">
        <v>5</v>
      </c>
      <c r="B5" s="3" t="s">
        <v>6</v>
      </c>
    </row>
    <row r="6" customFormat="false" ht="18" hidden="false" customHeight="true" outlineLevel="0" collapsed="false">
      <c r="A6" s="2" t="s">
        <v>7</v>
      </c>
      <c r="B6" s="3" t="s">
        <v>8</v>
      </c>
    </row>
    <row r="7" customFormat="false" ht="18" hidden="false" customHeight="true" outlineLevel="0" collapsed="false">
      <c r="A7" s="2" t="s">
        <v>9</v>
      </c>
      <c r="B7" s="3" t="s">
        <v>10</v>
      </c>
    </row>
    <row r="8" customFormat="false" ht="18" hidden="false" customHeight="true" outlineLevel="0" collapsed="false">
      <c r="A8" s="2" t="s">
        <v>11</v>
      </c>
      <c r="B8" s="3" t="s">
        <v>12</v>
      </c>
    </row>
    <row r="9" customFormat="false" ht="18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  <row r="11" customFormat="false" ht="18" hidden="false" customHeight="true" outlineLevel="0" collapsed="false">
      <c r="A11" s="2" t="s">
        <v>17</v>
      </c>
      <c r="B11" s="4" t="s">
        <v>18</v>
      </c>
    </row>
    <row r="12" customFormat="false" ht="18" hidden="false" customHeight="true" outlineLevel="0" collapsed="false">
      <c r="A12" s="2" t="s">
        <v>19</v>
      </c>
      <c r="B12" s="3" t="s">
        <v>20</v>
      </c>
    </row>
    <row r="13" customFormat="false" ht="15" hidden="false" customHeight="true" outlineLevel="0" collapsed="false"/>
    <row r="14" customFormat="false" ht="18" hidden="false" customHeight="true" outlineLevel="0" collapsed="false">
      <c r="A14" s="5" t="s">
        <v>21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/>
    <row r="16" customFormat="false" ht="18" hidden="false" customHeight="true" outlineLevel="0" collapsed="false">
      <c r="A16" s="6" t="s">
        <v>22</v>
      </c>
      <c r="B16" s="6"/>
      <c r="C16" s="6"/>
      <c r="D16" s="6"/>
      <c r="E16" s="6"/>
      <c r="F16" s="6"/>
      <c r="G16" s="6"/>
      <c r="H16" s="6"/>
    </row>
    <row r="17" customFormat="false" ht="15" hidden="false" customHeight="true" outlineLevel="0" collapsed="false">
      <c r="A17" s="7" t="s">
        <v>23</v>
      </c>
      <c r="B17" s="7"/>
      <c r="C17" s="7"/>
      <c r="D17" s="7"/>
      <c r="E17" s="7"/>
      <c r="F17" s="7"/>
      <c r="G17" s="7"/>
      <c r="H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7"/>
      <c r="G18" s="7"/>
      <c r="H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7"/>
      <c r="G19" s="7"/>
      <c r="H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7"/>
      <c r="G20" s="7"/>
      <c r="H20" s="7"/>
    </row>
  </sheetData>
  <mergeCells count="4">
    <mergeCell ref="A1:H1"/>
    <mergeCell ref="A14:H14"/>
    <mergeCell ref="A16:H16"/>
    <mergeCell ref="A17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3"/>
    <col collapsed="false" customWidth="true" hidden="false" outlineLevel="0" max="5" min="5" style="0" width="48"/>
  </cols>
  <sheetData>
    <row r="1" customFormat="false" ht="18" hidden="false" customHeight="true" outlineLevel="0" collapsed="false">
      <c r="A1" s="8" t="s">
        <v>24</v>
      </c>
      <c r="B1" s="8"/>
      <c r="C1" s="8"/>
      <c r="D1" s="8"/>
      <c r="E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25</v>
      </c>
      <c r="B3" s="9" t="s">
        <v>26</v>
      </c>
      <c r="C3" s="9" t="s">
        <v>27</v>
      </c>
      <c r="D3" s="9" t="s">
        <v>28</v>
      </c>
      <c r="E3" s="9" t="s">
        <v>29</v>
      </c>
    </row>
    <row r="4" customFormat="false" ht="15" hidden="false" customHeight="true" outlineLevel="0" collapsed="false">
      <c r="A4" s="10" t="s">
        <v>30</v>
      </c>
      <c r="B4" s="11" t="n">
        <v>2679</v>
      </c>
      <c r="C4" s="11" t="n">
        <v>2708</v>
      </c>
      <c r="D4" s="11" t="n">
        <v>2909</v>
      </c>
      <c r="E4" s="12" t="s">
        <v>31</v>
      </c>
    </row>
    <row r="5" customFormat="false" ht="15" hidden="false" customHeight="true" outlineLevel="0" collapsed="false">
      <c r="A5" s="10" t="s">
        <v>32</v>
      </c>
      <c r="B5" s="11" t="n">
        <v>271</v>
      </c>
      <c r="C5" s="11" t="n">
        <v>1592</v>
      </c>
      <c r="D5" s="11" t="n">
        <v>2348</v>
      </c>
      <c r="E5" s="12" t="s">
        <v>31</v>
      </c>
    </row>
    <row r="6" customFormat="false" ht="15" hidden="false" customHeight="true" outlineLevel="0" collapsed="false">
      <c r="A6" s="10" t="s">
        <v>33</v>
      </c>
      <c r="B6" s="11" t="n">
        <v>2903</v>
      </c>
      <c r="C6" s="11" t="n">
        <v>2919</v>
      </c>
      <c r="D6" s="11" t="n">
        <v>2960</v>
      </c>
      <c r="E6" s="12" t="s">
        <v>31</v>
      </c>
    </row>
    <row r="7" customFormat="false" ht="15" hidden="false" customHeight="true" outlineLevel="0" collapsed="false">
      <c r="A7" s="10" t="s">
        <v>34</v>
      </c>
      <c r="B7" s="11" t="n">
        <v>1169</v>
      </c>
      <c r="C7" s="11" t="n">
        <v>1187</v>
      </c>
      <c r="D7" s="11" t="n">
        <v>1217</v>
      </c>
      <c r="E7" s="12" t="s">
        <v>31</v>
      </c>
    </row>
    <row r="8" customFormat="false" ht="15" hidden="false" customHeight="true" outlineLevel="0" collapsed="false">
      <c r="A8" s="13" t="s">
        <v>35</v>
      </c>
      <c r="B8" s="14" t="n">
        <v>7022</v>
      </c>
      <c r="C8" s="14" t="n">
        <v>8406</v>
      </c>
      <c r="D8" s="14" t="n">
        <v>9434</v>
      </c>
      <c r="E8" s="15" t="s">
        <v>31</v>
      </c>
    </row>
    <row r="9" customFormat="false" ht="15" hidden="false" customHeight="true" outlineLevel="0" collapsed="false">
      <c r="A9" s="10" t="s">
        <v>36</v>
      </c>
      <c r="B9" s="11" t="n">
        <v>2193</v>
      </c>
      <c r="C9" s="11" t="n">
        <v>2180</v>
      </c>
      <c r="D9" s="11" t="n">
        <v>2363</v>
      </c>
      <c r="E9" s="12" t="s">
        <v>31</v>
      </c>
    </row>
    <row r="10" customFormat="false" ht="15" hidden="false" customHeight="true" outlineLevel="0" collapsed="false">
      <c r="A10" s="10" t="s">
        <v>37</v>
      </c>
      <c r="B10" s="11" t="n">
        <v>242</v>
      </c>
      <c r="C10" s="11" t="n">
        <v>1328</v>
      </c>
      <c r="D10" s="11" t="n">
        <v>1968</v>
      </c>
      <c r="E10" s="12" t="s">
        <v>31</v>
      </c>
    </row>
    <row r="11" customFormat="false" ht="15" hidden="false" customHeight="true" outlineLevel="0" collapsed="false">
      <c r="A11" s="10" t="s">
        <v>38</v>
      </c>
      <c r="B11" s="11" t="n">
        <v>512</v>
      </c>
      <c r="C11" s="11" t="n">
        <v>544</v>
      </c>
      <c r="D11" s="11" t="n">
        <v>552</v>
      </c>
      <c r="E11" s="12" t="s">
        <v>31</v>
      </c>
    </row>
    <row r="12" customFormat="false" ht="15" hidden="false" customHeight="true" outlineLevel="0" collapsed="false">
      <c r="A12" s="10" t="s">
        <v>39</v>
      </c>
      <c r="B12" s="11" t="n">
        <v>1273</v>
      </c>
      <c r="C12" s="11" t="n">
        <v>1330</v>
      </c>
      <c r="D12" s="11" t="n">
        <v>1358</v>
      </c>
      <c r="E12" s="12" t="s">
        <v>31</v>
      </c>
    </row>
    <row r="13" customFormat="false" ht="15" hidden="false" customHeight="true" outlineLevel="0" collapsed="false">
      <c r="A13" s="10" t="s">
        <v>40</v>
      </c>
      <c r="B13" s="11" t="n">
        <v>704</v>
      </c>
      <c r="C13" s="11" t="n">
        <v>733</v>
      </c>
      <c r="D13" s="11" t="n">
        <v>741</v>
      </c>
      <c r="E13" s="12" t="s">
        <v>31</v>
      </c>
    </row>
    <row r="14" customFormat="false" ht="15" hidden="false" customHeight="true" outlineLevel="0" collapsed="false">
      <c r="A14" s="10" t="s">
        <v>41</v>
      </c>
      <c r="B14" s="11" t="n">
        <v>-8</v>
      </c>
      <c r="C14" s="11" t="n">
        <v>-69</v>
      </c>
      <c r="D14" s="11" t="n">
        <v>-11</v>
      </c>
      <c r="E14" s="12" t="s">
        <v>31</v>
      </c>
    </row>
    <row r="15" customFormat="false" ht="15" hidden="false" customHeight="true" outlineLevel="0" collapsed="false">
      <c r="A15" s="10" t="s">
        <v>42</v>
      </c>
      <c r="B15" s="11" t="n">
        <v>55</v>
      </c>
      <c r="C15" s="11" t="n">
        <v>-59</v>
      </c>
      <c r="D15" s="11" t="n">
        <v>261</v>
      </c>
      <c r="E15" s="12" t="s">
        <v>31</v>
      </c>
    </row>
    <row r="16" customFormat="false" ht="15" hidden="false" customHeight="true" outlineLevel="0" collapsed="false">
      <c r="A16" s="13" t="s">
        <v>43</v>
      </c>
      <c r="B16" s="14" t="n">
        <v>4971</v>
      </c>
      <c r="C16" s="14" t="n">
        <v>5987</v>
      </c>
      <c r="D16" s="14" t="n">
        <v>7232</v>
      </c>
      <c r="E16" s="15" t="s">
        <v>31</v>
      </c>
    </row>
    <row r="17" customFormat="false" ht="15" hidden="false" customHeight="true" outlineLevel="0" collapsed="false">
      <c r="A17" s="13" t="s">
        <v>44</v>
      </c>
      <c r="B17" s="14" t="n">
        <v>2051</v>
      </c>
      <c r="C17" s="14" t="n">
        <v>2419</v>
      </c>
      <c r="D17" s="14" t="n">
        <v>2202</v>
      </c>
      <c r="E17" s="15" t="s">
        <v>31</v>
      </c>
    </row>
    <row r="18" customFormat="false" ht="15" hidden="false" customHeight="true" outlineLevel="0" collapsed="false">
      <c r="A18" s="10" t="s">
        <v>45</v>
      </c>
      <c r="B18" s="11" t="n">
        <v>582</v>
      </c>
      <c r="C18" s="11" t="n">
        <v>577</v>
      </c>
      <c r="D18" s="11" t="n">
        <v>516</v>
      </c>
      <c r="E18" s="12" t="s">
        <v>31</v>
      </c>
    </row>
    <row r="19" customFormat="false" ht="15" hidden="false" customHeight="true" outlineLevel="0" collapsed="false">
      <c r="A19" s="10" t="s">
        <v>46</v>
      </c>
      <c r="B19" s="11" t="n">
        <v>16</v>
      </c>
      <c r="C19" s="11" t="n">
        <v>33</v>
      </c>
      <c r="D19" s="11" t="n">
        <v>2</v>
      </c>
      <c r="E19" s="12" t="s">
        <v>31</v>
      </c>
    </row>
    <row r="20" customFormat="false" ht="15" hidden="false" customHeight="true" outlineLevel="0" collapsed="false">
      <c r="A20" s="13" t="s">
        <v>47</v>
      </c>
      <c r="B20" s="14" t="n">
        <v>1453</v>
      </c>
      <c r="C20" s="14" t="n">
        <v>1809</v>
      </c>
      <c r="D20" s="14" t="n">
        <v>1684</v>
      </c>
      <c r="E20" s="15" t="s">
        <v>31</v>
      </c>
    </row>
    <row r="21" customFormat="false" ht="15" hidden="false" customHeight="true" outlineLevel="0" collapsed="false">
      <c r="A21" s="10" t="s">
        <v>48</v>
      </c>
      <c r="B21" s="11" t="n">
        <v>-265</v>
      </c>
      <c r="C21" s="11" t="n">
        <v>364</v>
      </c>
      <c r="D21" s="11" t="n">
        <v>483</v>
      </c>
      <c r="E21" s="12" t="s">
        <v>31</v>
      </c>
    </row>
    <row r="22" customFormat="false" ht="15" hidden="false" customHeight="true" outlineLevel="0" collapsed="false">
      <c r="A22" s="13" t="s">
        <v>49</v>
      </c>
      <c r="B22" s="14" t="n">
        <v>1718</v>
      </c>
      <c r="C22" s="14" t="n">
        <v>1445</v>
      </c>
      <c r="D22" s="14" t="n">
        <v>1201</v>
      </c>
      <c r="E22" s="15" t="s">
        <v>31</v>
      </c>
    </row>
    <row r="23" customFormat="false" ht="15" hidden="false" customHeight="true" outlineLevel="0" collapsed="false">
      <c r="A23" s="10" t="s">
        <v>50</v>
      </c>
      <c r="B23" s="11" t="n">
        <v>0</v>
      </c>
      <c r="C23" s="11" t="n">
        <v>0</v>
      </c>
      <c r="D23" s="11" t="n">
        <v>126</v>
      </c>
      <c r="E23" s="12" t="s">
        <v>31</v>
      </c>
    </row>
    <row r="24" customFormat="false" ht="15" hidden="false" customHeight="true" outlineLevel="0" collapsed="false">
      <c r="A24" s="13" t="s">
        <v>51</v>
      </c>
      <c r="B24" s="14" t="n">
        <v>1718</v>
      </c>
      <c r="C24" s="14" t="n">
        <v>1445</v>
      </c>
      <c r="D24" s="14" t="n">
        <v>1075</v>
      </c>
      <c r="E24" s="15" t="s">
        <v>31</v>
      </c>
    </row>
    <row r="25" customFormat="false" ht="15" hidden="false" customHeight="true" outlineLevel="0" collapsed="false">
      <c r="A25" s="10" t="s">
        <v>52</v>
      </c>
      <c r="B25" s="11" t="n">
        <v>3</v>
      </c>
      <c r="C25" s="11" t="n">
        <v>3</v>
      </c>
      <c r="D25" s="11" t="n">
        <v>1</v>
      </c>
      <c r="E25" s="12" t="s">
        <v>31</v>
      </c>
    </row>
    <row r="26" customFormat="false" ht="15" hidden="false" customHeight="true" outlineLevel="0" collapsed="false">
      <c r="A26" s="10" t="s">
        <v>53</v>
      </c>
      <c r="B26" s="11" t="n">
        <v>1715</v>
      </c>
      <c r="C26" s="11" t="n">
        <v>1442</v>
      </c>
      <c r="D26" s="11" t="n">
        <v>1074</v>
      </c>
      <c r="E26" s="12" t="s">
        <v>31</v>
      </c>
    </row>
    <row r="27" customFormat="false" ht="15" hidden="false" customHeight="true" outlineLevel="0" collapsed="false">
      <c r="A27" s="10" t="s">
        <v>54</v>
      </c>
      <c r="B27" s="11" t="n">
        <v>202</v>
      </c>
      <c r="C27" s="11" t="n">
        <v>204</v>
      </c>
      <c r="D27" s="11" t="n">
        <v>210</v>
      </c>
      <c r="E27" s="12" t="s">
        <v>31</v>
      </c>
    </row>
    <row r="28" customFormat="false" ht="15" hidden="false" customHeight="true" outlineLevel="0" collapsed="false">
      <c r="A28" s="10" t="s">
        <v>55</v>
      </c>
      <c r="B28" s="11" t="n">
        <v>139</v>
      </c>
      <c r="C28" s="11" t="n">
        <v>131</v>
      </c>
      <c r="D28" s="11" t="n">
        <v>126</v>
      </c>
      <c r="E28" s="12" t="s">
        <v>31</v>
      </c>
    </row>
    <row r="29" customFormat="false" ht="15" hidden="false" customHeight="true" outlineLevel="0" collapsed="false">
      <c r="A29" s="16"/>
      <c r="B29" s="17"/>
      <c r="C29" s="17"/>
      <c r="D29" s="17"/>
      <c r="E29" s="18"/>
    </row>
    <row r="30" customFormat="false" ht="18" hidden="false" customHeight="true" outlineLevel="0" collapsed="false">
      <c r="A30" s="19" t="s">
        <v>56</v>
      </c>
      <c r="B30" s="20" t="s">
        <v>26</v>
      </c>
      <c r="C30" s="20" t="s">
        <v>27</v>
      </c>
      <c r="D30" s="20" t="s">
        <v>28</v>
      </c>
      <c r="E30" s="21" t="s">
        <v>29</v>
      </c>
    </row>
    <row r="31" customFormat="false" ht="30" hidden="false" customHeight="true" outlineLevel="0" collapsed="false">
      <c r="A31" s="10" t="s">
        <v>57</v>
      </c>
      <c r="B31" s="11" t="n">
        <v>1139</v>
      </c>
      <c r="C31" s="11" t="n">
        <v>1334</v>
      </c>
      <c r="D31" s="11" t="n">
        <v>1163</v>
      </c>
      <c r="E31" s="12" t="s">
        <v>58</v>
      </c>
    </row>
    <row r="32" customFormat="false" ht="30" hidden="false" customHeight="true" outlineLevel="0" collapsed="false">
      <c r="A32" s="10" t="s">
        <v>59</v>
      </c>
      <c r="B32" s="11" t="n">
        <v>749</v>
      </c>
      <c r="C32" s="11" t="n">
        <v>698</v>
      </c>
      <c r="D32" s="11" t="n">
        <v>794</v>
      </c>
      <c r="E32" s="12" t="s">
        <v>58</v>
      </c>
    </row>
    <row r="33" customFormat="false" ht="30" hidden="false" customHeight="true" outlineLevel="0" collapsed="false">
      <c r="A33" s="10" t="s">
        <v>60</v>
      </c>
      <c r="B33" s="11" t="n">
        <v>166</v>
      </c>
      <c r="C33" s="11" t="n">
        <v>142</v>
      </c>
      <c r="D33" s="11" t="n">
        <v>205</v>
      </c>
      <c r="E33" s="12" t="s">
        <v>58</v>
      </c>
    </row>
    <row r="34" customFormat="false" ht="30" hidden="false" customHeight="true" outlineLevel="0" collapsed="false">
      <c r="A34" s="10" t="s">
        <v>61</v>
      </c>
      <c r="B34" s="11" t="n">
        <v>119</v>
      </c>
      <c r="C34" s="11" t="n">
        <v>108</v>
      </c>
      <c r="D34" s="11" t="n">
        <v>179</v>
      </c>
      <c r="E34" s="12" t="s">
        <v>58</v>
      </c>
    </row>
    <row r="35" customFormat="false" ht="30" hidden="false" customHeight="true" outlineLevel="0" collapsed="false">
      <c r="A35" s="10" t="s">
        <v>62</v>
      </c>
      <c r="B35" s="11" t="n">
        <v>0</v>
      </c>
      <c r="C35" s="11" t="n">
        <v>0</v>
      </c>
      <c r="D35" s="11" t="n">
        <v>489</v>
      </c>
      <c r="E35" s="12" t="s">
        <v>58</v>
      </c>
    </row>
    <row r="36" customFormat="false" ht="30" hidden="false" customHeight="true" outlineLevel="0" collapsed="false">
      <c r="A36" s="13" t="s">
        <v>63</v>
      </c>
      <c r="B36" s="14" t="n">
        <v>2173</v>
      </c>
      <c r="C36" s="14" t="n">
        <v>2282</v>
      </c>
      <c r="D36" s="14" t="n">
        <v>2830</v>
      </c>
      <c r="E36" s="15" t="s">
        <v>58</v>
      </c>
    </row>
    <row r="37" customFormat="false" ht="30" hidden="false" customHeight="true" outlineLevel="0" collapsed="false">
      <c r="A37" s="10" t="s">
        <v>64</v>
      </c>
      <c r="B37" s="11" t="n">
        <v>1952</v>
      </c>
      <c r="C37" s="11" t="n">
        <v>2236</v>
      </c>
      <c r="D37" s="11" t="n">
        <v>2303</v>
      </c>
      <c r="E37" s="12" t="s">
        <v>58</v>
      </c>
    </row>
    <row r="38" customFormat="false" ht="30" hidden="false" customHeight="true" outlineLevel="0" collapsed="false">
      <c r="A38" s="10" t="s">
        <v>65</v>
      </c>
      <c r="B38" s="11" t="n">
        <v>1122</v>
      </c>
      <c r="C38" s="11" t="n">
        <v>1852</v>
      </c>
      <c r="D38" s="11" t="n">
        <v>1961</v>
      </c>
      <c r="E38" s="12" t="s">
        <v>58</v>
      </c>
    </row>
    <row r="39" customFormat="false" ht="30" hidden="false" customHeight="true" outlineLevel="0" collapsed="false">
      <c r="A39" s="10" t="s">
        <v>66</v>
      </c>
      <c r="B39" s="11" t="n">
        <v>11107</v>
      </c>
      <c r="C39" s="11" t="n">
        <v>10922</v>
      </c>
      <c r="D39" s="11" t="n">
        <v>11190</v>
      </c>
      <c r="E39" s="12" t="s">
        <v>58</v>
      </c>
    </row>
    <row r="40" customFormat="false" ht="30" hidden="false" customHeight="true" outlineLevel="0" collapsed="false">
      <c r="A40" s="10" t="s">
        <v>67</v>
      </c>
      <c r="B40" s="11" t="n">
        <v>5775</v>
      </c>
      <c r="C40" s="11" t="n">
        <v>5986</v>
      </c>
      <c r="D40" s="11" t="n">
        <v>6306</v>
      </c>
      <c r="E40" s="12" t="s">
        <v>58</v>
      </c>
    </row>
    <row r="41" customFormat="false" ht="30" hidden="false" customHeight="true" outlineLevel="0" collapsed="false">
      <c r="A41" s="10" t="s">
        <v>68</v>
      </c>
      <c r="B41" s="11" t="n">
        <v>1262</v>
      </c>
      <c r="C41" s="11" t="n">
        <v>1354</v>
      </c>
      <c r="D41" s="11" t="n">
        <v>1025</v>
      </c>
      <c r="E41" s="12" t="s">
        <v>58</v>
      </c>
    </row>
    <row r="42" customFormat="false" ht="30" hidden="false" customHeight="true" outlineLevel="0" collapsed="false">
      <c r="A42" s="13" t="s">
        <v>69</v>
      </c>
      <c r="B42" s="14" t="n">
        <v>23391</v>
      </c>
      <c r="C42" s="14" t="n">
        <v>24632</v>
      </c>
      <c r="D42" s="14" t="n">
        <v>25615</v>
      </c>
      <c r="E42" s="15" t="s">
        <v>58</v>
      </c>
    </row>
    <row r="43" customFormat="false" ht="30" hidden="false" customHeight="true" outlineLevel="0" collapsed="false">
      <c r="A43" s="10" t="s">
        <v>70</v>
      </c>
      <c r="B43" s="11" t="n">
        <v>790</v>
      </c>
      <c r="C43" s="11" t="n">
        <v>765</v>
      </c>
      <c r="D43" s="11" t="n">
        <v>866</v>
      </c>
      <c r="E43" s="12" t="s">
        <v>58</v>
      </c>
    </row>
    <row r="44" customFormat="false" ht="30" hidden="false" customHeight="true" outlineLevel="0" collapsed="false">
      <c r="A44" s="10" t="s">
        <v>71</v>
      </c>
      <c r="B44" s="11" t="n">
        <v>1005</v>
      </c>
      <c r="C44" s="11" t="n">
        <v>1141</v>
      </c>
      <c r="D44" s="11" t="n">
        <v>1271</v>
      </c>
      <c r="E44" s="12" t="s">
        <v>58</v>
      </c>
    </row>
    <row r="45" customFormat="false" ht="30" hidden="false" customHeight="true" outlineLevel="0" collapsed="false">
      <c r="A45" s="10" t="s">
        <v>72</v>
      </c>
      <c r="B45" s="11" t="n">
        <v>248</v>
      </c>
      <c r="C45" s="11" t="n">
        <v>236</v>
      </c>
      <c r="D45" s="11" t="n">
        <v>249</v>
      </c>
      <c r="E45" s="12" t="s">
        <v>58</v>
      </c>
    </row>
    <row r="46" customFormat="false" ht="30" hidden="false" customHeight="true" outlineLevel="0" collapsed="false">
      <c r="A46" s="10" t="s">
        <v>73</v>
      </c>
      <c r="B46" s="11" t="n">
        <v>101</v>
      </c>
      <c r="C46" s="11" t="n">
        <v>222</v>
      </c>
      <c r="D46" s="11" t="n">
        <v>68</v>
      </c>
      <c r="E46" s="12" t="s">
        <v>58</v>
      </c>
    </row>
    <row r="47" customFormat="false" ht="30" hidden="false" customHeight="true" outlineLevel="0" collapsed="false">
      <c r="A47" s="10" t="s">
        <v>74</v>
      </c>
      <c r="B47" s="11" t="n">
        <v>0</v>
      </c>
      <c r="C47" s="11" t="n">
        <v>0</v>
      </c>
      <c r="D47" s="11" t="n">
        <v>437</v>
      </c>
      <c r="E47" s="12" t="s">
        <v>58</v>
      </c>
    </row>
    <row r="48" customFormat="false" ht="30" hidden="false" customHeight="true" outlineLevel="0" collapsed="false">
      <c r="A48" s="13" t="s">
        <v>75</v>
      </c>
      <c r="B48" s="14" t="n">
        <v>2144</v>
      </c>
      <c r="C48" s="14" t="n">
        <v>2364</v>
      </c>
      <c r="D48" s="14" t="n">
        <v>2891</v>
      </c>
      <c r="E48" s="15" t="s">
        <v>58</v>
      </c>
    </row>
    <row r="49" customFormat="false" ht="30" hidden="false" customHeight="true" outlineLevel="0" collapsed="false">
      <c r="A49" s="10" t="s">
        <v>76</v>
      </c>
      <c r="B49" s="11" t="n">
        <v>12854</v>
      </c>
      <c r="C49" s="11" t="n">
        <v>13455</v>
      </c>
      <c r="D49" s="11" t="n">
        <v>13250</v>
      </c>
      <c r="E49" s="12" t="s">
        <v>58</v>
      </c>
    </row>
    <row r="50" customFormat="false" ht="30" hidden="false" customHeight="true" outlineLevel="0" collapsed="false">
      <c r="A50" s="10" t="s">
        <v>77</v>
      </c>
      <c r="B50" s="11" t="n">
        <v>312</v>
      </c>
      <c r="C50" s="11" t="n">
        <v>286</v>
      </c>
      <c r="D50" s="11" t="n">
        <v>261</v>
      </c>
      <c r="E50" s="12" t="s">
        <v>58</v>
      </c>
    </row>
    <row r="51" customFormat="false" ht="30" hidden="false" customHeight="true" outlineLevel="0" collapsed="false">
      <c r="A51" s="10" t="s">
        <v>78</v>
      </c>
      <c r="B51" s="11" t="n">
        <v>1059</v>
      </c>
      <c r="C51" s="11" t="n">
        <v>1770</v>
      </c>
      <c r="D51" s="11" t="n">
        <v>1900</v>
      </c>
      <c r="E51" s="12" t="s">
        <v>58</v>
      </c>
    </row>
    <row r="52" customFormat="false" ht="30" hidden="false" customHeight="true" outlineLevel="0" collapsed="false">
      <c r="A52" s="10" t="s">
        <v>79</v>
      </c>
      <c r="B52" s="11" t="n">
        <v>996</v>
      </c>
      <c r="C52" s="11" t="n">
        <v>706</v>
      </c>
      <c r="D52" s="11" t="n">
        <v>1034</v>
      </c>
      <c r="E52" s="12" t="s">
        <v>58</v>
      </c>
    </row>
    <row r="53" customFormat="false" ht="30" hidden="false" customHeight="true" outlineLevel="0" collapsed="false">
      <c r="A53" s="10" t="s">
        <v>80</v>
      </c>
      <c r="B53" s="11" t="n">
        <v>1296</v>
      </c>
      <c r="C53" s="11" t="n">
        <v>1208</v>
      </c>
      <c r="D53" s="11" t="n">
        <v>1120</v>
      </c>
      <c r="E53" s="12" t="s">
        <v>58</v>
      </c>
    </row>
    <row r="54" customFormat="false" ht="30" hidden="false" customHeight="true" outlineLevel="0" collapsed="false">
      <c r="A54" s="13" t="s">
        <v>81</v>
      </c>
      <c r="B54" s="14" t="n">
        <v>18661</v>
      </c>
      <c r="C54" s="14" t="n">
        <v>19789</v>
      </c>
      <c r="D54" s="14" t="n">
        <v>20456</v>
      </c>
      <c r="E54" s="15" t="s">
        <v>58</v>
      </c>
    </row>
    <row r="55" customFormat="false" ht="30" hidden="false" customHeight="true" outlineLevel="0" collapsed="false">
      <c r="A55" s="10" t="s">
        <v>82</v>
      </c>
      <c r="B55" s="11" t="n">
        <v>9620</v>
      </c>
      <c r="C55" s="11" t="n">
        <v>10607</v>
      </c>
      <c r="D55" s="11" t="n">
        <v>12006</v>
      </c>
      <c r="E55" s="12" t="s">
        <v>58</v>
      </c>
    </row>
    <row r="56" customFormat="false" ht="30" hidden="false" customHeight="true" outlineLevel="0" collapsed="false">
      <c r="A56" s="10" t="s">
        <v>83</v>
      </c>
      <c r="B56" s="11" t="n">
        <v>-3907</v>
      </c>
      <c r="C56" s="11" t="n">
        <v>-4241</v>
      </c>
      <c r="D56" s="11" t="n">
        <v>-5515</v>
      </c>
      <c r="E56" s="12" t="s">
        <v>58</v>
      </c>
    </row>
    <row r="57" customFormat="false" ht="30" hidden="false" customHeight="true" outlineLevel="0" collapsed="false">
      <c r="A57" s="10" t="s">
        <v>84</v>
      </c>
      <c r="B57" s="11" t="n">
        <v>-985</v>
      </c>
      <c r="C57" s="11" t="n">
        <v>-1525</v>
      </c>
      <c r="D57" s="11" t="n">
        <v>-1334</v>
      </c>
      <c r="E57" s="12" t="s">
        <v>58</v>
      </c>
    </row>
    <row r="58" customFormat="false" ht="30" hidden="false" customHeight="true" outlineLevel="0" collapsed="false">
      <c r="A58" s="10" t="s">
        <v>85</v>
      </c>
      <c r="B58" s="11" t="n">
        <v>4728</v>
      </c>
      <c r="C58" s="11" t="n">
        <v>4841</v>
      </c>
      <c r="D58" s="11" t="n">
        <v>5157</v>
      </c>
      <c r="E58" s="12" t="s">
        <v>58</v>
      </c>
    </row>
    <row r="59" customFormat="false" ht="30" hidden="false" customHeight="true" outlineLevel="0" collapsed="false">
      <c r="A59" s="10" t="s">
        <v>86</v>
      </c>
      <c r="B59" s="11" t="n">
        <v>2</v>
      </c>
      <c r="C59" s="11" t="n">
        <v>2</v>
      </c>
      <c r="D59" s="11" t="n">
        <v>2</v>
      </c>
      <c r="E59" s="12" t="s">
        <v>58</v>
      </c>
    </row>
    <row r="60" customFormat="false" ht="30" hidden="false" customHeight="true" outlineLevel="0" collapsed="false">
      <c r="A60" s="13" t="s">
        <v>87</v>
      </c>
      <c r="B60" s="14" t="n">
        <v>4730</v>
      </c>
      <c r="C60" s="14" t="n">
        <v>4843</v>
      </c>
      <c r="D60" s="14" t="n">
        <v>5159</v>
      </c>
      <c r="E60" s="15" t="s">
        <v>58</v>
      </c>
    </row>
    <row r="61" customFormat="false" ht="30" hidden="false" customHeight="true" outlineLevel="0" collapsed="false">
      <c r="A61" s="13" t="s">
        <v>88</v>
      </c>
      <c r="B61" s="14" t="n">
        <v>23391</v>
      </c>
      <c r="C61" s="14" t="n">
        <v>24632</v>
      </c>
      <c r="D61" s="14" t="n">
        <v>25615</v>
      </c>
      <c r="E61" s="15" t="s">
        <v>58</v>
      </c>
    </row>
    <row r="62" customFormat="false" ht="15" hidden="false" customHeight="true" outlineLevel="0" collapsed="false">
      <c r="A62" s="16"/>
      <c r="B62" s="17"/>
      <c r="C62" s="17"/>
      <c r="D62" s="17"/>
      <c r="E62" s="18"/>
    </row>
    <row r="63" customFormat="false" ht="15" hidden="false" customHeight="true" outlineLevel="0" collapsed="false">
      <c r="A63" s="16"/>
      <c r="B63" s="17"/>
      <c r="C63" s="17"/>
      <c r="D63" s="17"/>
      <c r="E63" s="18"/>
    </row>
    <row r="64" customFormat="false" ht="15" hidden="false" customHeight="true" outlineLevel="0" collapsed="false">
      <c r="A64" s="16"/>
      <c r="B64" s="17"/>
      <c r="C64" s="17"/>
      <c r="D64" s="17"/>
      <c r="E64" s="18"/>
    </row>
    <row r="65" customFormat="false" ht="18" hidden="false" customHeight="true" outlineLevel="0" collapsed="false">
      <c r="A65" s="19" t="s">
        <v>89</v>
      </c>
      <c r="B65" s="20" t="s">
        <v>26</v>
      </c>
      <c r="C65" s="20" t="s">
        <v>27</v>
      </c>
      <c r="D65" s="20" t="s">
        <v>28</v>
      </c>
      <c r="E65" s="21" t="s">
        <v>29</v>
      </c>
    </row>
    <row r="66" customFormat="false" ht="15" hidden="false" customHeight="true" outlineLevel="0" collapsed="false">
      <c r="A66" s="10" t="s">
        <v>51</v>
      </c>
      <c r="B66" s="11" t="n">
        <v>1718</v>
      </c>
      <c r="C66" s="11" t="n">
        <v>1445</v>
      </c>
      <c r="D66" s="11" t="n">
        <v>1075</v>
      </c>
      <c r="E66" s="12" t="s">
        <v>90</v>
      </c>
    </row>
    <row r="67" customFormat="false" ht="15" hidden="false" customHeight="true" outlineLevel="0" collapsed="false">
      <c r="A67" s="10" t="s">
        <v>50</v>
      </c>
      <c r="B67" s="11" t="n">
        <v>0</v>
      </c>
      <c r="C67" s="11" t="n">
        <v>0</v>
      </c>
      <c r="D67" s="11" t="n">
        <v>126</v>
      </c>
      <c r="E67" s="12" t="s">
        <v>90</v>
      </c>
    </row>
    <row r="68" customFormat="false" ht="15" hidden="false" customHeight="true" outlineLevel="0" collapsed="false">
      <c r="A68" s="10" t="s">
        <v>49</v>
      </c>
      <c r="B68" s="11" t="n">
        <v>1718</v>
      </c>
      <c r="C68" s="11" t="n">
        <v>1445</v>
      </c>
      <c r="D68" s="11" t="n">
        <v>1201</v>
      </c>
      <c r="E68" s="12" t="s">
        <v>90</v>
      </c>
    </row>
    <row r="69" customFormat="false" ht="15" hidden="false" customHeight="true" outlineLevel="0" collapsed="false">
      <c r="A69" s="10" t="s">
        <v>91</v>
      </c>
      <c r="B69" s="11" t="n">
        <v>191</v>
      </c>
      <c r="C69" s="11" t="n">
        <v>264</v>
      </c>
      <c r="D69" s="11" t="n">
        <v>301</v>
      </c>
      <c r="E69" s="12" t="s">
        <v>90</v>
      </c>
    </row>
    <row r="70" customFormat="false" ht="15" hidden="false" customHeight="true" outlineLevel="0" collapsed="false">
      <c r="A70" s="10" t="s">
        <v>92</v>
      </c>
      <c r="B70" s="11" t="n">
        <v>5</v>
      </c>
      <c r="C70" s="11" t="n">
        <v>23</v>
      </c>
      <c r="D70" s="11" t="n">
        <v>2</v>
      </c>
      <c r="E70" s="12" t="s">
        <v>90</v>
      </c>
    </row>
    <row r="71" customFormat="false" ht="15" hidden="false" customHeight="true" outlineLevel="0" collapsed="false">
      <c r="A71" s="10" t="s">
        <v>93</v>
      </c>
      <c r="B71" s="11" t="n">
        <v>27</v>
      </c>
      <c r="C71" s="11" t="n">
        <v>25</v>
      </c>
      <c r="D71" s="11" t="n">
        <v>25</v>
      </c>
      <c r="E71" s="12" t="s">
        <v>90</v>
      </c>
    </row>
    <row r="72" customFormat="false" ht="15" hidden="false" customHeight="true" outlineLevel="0" collapsed="false">
      <c r="A72" s="10" t="s">
        <v>41</v>
      </c>
      <c r="B72" s="11" t="n">
        <v>-8</v>
      </c>
      <c r="C72" s="11" t="n">
        <v>-69</v>
      </c>
      <c r="D72" s="11" t="n">
        <v>-11</v>
      </c>
      <c r="E72" s="12" t="s">
        <v>90</v>
      </c>
    </row>
    <row r="73" customFormat="false" ht="15" hidden="false" customHeight="true" outlineLevel="0" collapsed="false">
      <c r="A73" s="10" t="s">
        <v>94</v>
      </c>
      <c r="B73" s="11" t="n">
        <v>20</v>
      </c>
      <c r="C73" s="11" t="n">
        <v>-71</v>
      </c>
      <c r="D73" s="11" t="n">
        <v>209</v>
      </c>
      <c r="E73" s="12" t="s">
        <v>90</v>
      </c>
    </row>
    <row r="74" customFormat="false" ht="15" hidden="false" customHeight="true" outlineLevel="0" collapsed="false">
      <c r="A74" s="10" t="s">
        <v>95</v>
      </c>
      <c r="B74" s="11" t="n">
        <v>-151</v>
      </c>
      <c r="C74" s="11" t="n">
        <v>-191</v>
      </c>
      <c r="D74" s="11" t="n">
        <v>-198</v>
      </c>
      <c r="E74" s="12" t="s">
        <v>90</v>
      </c>
    </row>
    <row r="75" customFormat="false" ht="15" hidden="false" customHeight="true" outlineLevel="0" collapsed="false">
      <c r="A75" s="10" t="s">
        <v>96</v>
      </c>
      <c r="B75" s="11" t="n">
        <v>194</v>
      </c>
      <c r="C75" s="11" t="n">
        <v>172</v>
      </c>
      <c r="D75" s="11" t="n">
        <v>151</v>
      </c>
      <c r="E75" s="12" t="s">
        <v>90</v>
      </c>
    </row>
    <row r="76" customFormat="false" ht="15" hidden="false" customHeight="true" outlineLevel="0" collapsed="false">
      <c r="A76" s="10" t="s">
        <v>97</v>
      </c>
      <c r="B76" s="11" t="n">
        <v>-430</v>
      </c>
      <c r="C76" s="11" t="n">
        <v>-5</v>
      </c>
      <c r="D76" s="11" t="n">
        <v>97</v>
      </c>
      <c r="E76" s="12" t="s">
        <v>90</v>
      </c>
    </row>
    <row r="77" customFormat="false" ht="15" hidden="false" customHeight="true" outlineLevel="0" collapsed="false">
      <c r="A77" s="10" t="s">
        <v>98</v>
      </c>
      <c r="B77" s="11" t="n">
        <v>26</v>
      </c>
      <c r="C77" s="11" t="n">
        <v>19</v>
      </c>
      <c r="D77" s="11" t="n">
        <v>49</v>
      </c>
      <c r="E77" s="12" t="s">
        <v>90</v>
      </c>
    </row>
    <row r="78" customFormat="false" ht="15" hidden="false" customHeight="true" outlineLevel="0" collapsed="false">
      <c r="A78" s="10" t="s">
        <v>99</v>
      </c>
      <c r="B78" s="11" t="n">
        <v>-147</v>
      </c>
      <c r="C78" s="11" t="n">
        <v>7</v>
      </c>
      <c r="D78" s="11" t="n">
        <v>-89</v>
      </c>
      <c r="E78" s="12" t="s">
        <v>90</v>
      </c>
    </row>
    <row r="79" customFormat="false" ht="15" hidden="false" customHeight="true" outlineLevel="0" collapsed="false">
      <c r="A79" s="10" t="s">
        <v>100</v>
      </c>
      <c r="B79" s="11" t="n">
        <v>-43</v>
      </c>
      <c r="C79" s="11" t="n">
        <v>30</v>
      </c>
      <c r="D79" s="11" t="n">
        <v>-67</v>
      </c>
      <c r="E79" s="12" t="s">
        <v>90</v>
      </c>
    </row>
    <row r="80" customFormat="false" ht="15" hidden="false" customHeight="true" outlineLevel="0" collapsed="false">
      <c r="A80" s="10" t="s">
        <v>70</v>
      </c>
      <c r="B80" s="11" t="n">
        <v>22</v>
      </c>
      <c r="C80" s="11" t="n">
        <v>-30</v>
      </c>
      <c r="D80" s="11" t="n">
        <v>89</v>
      </c>
      <c r="E80" s="12" t="s">
        <v>90</v>
      </c>
    </row>
    <row r="81" customFormat="false" ht="15" hidden="false" customHeight="true" outlineLevel="0" collapsed="false">
      <c r="A81" s="10" t="s">
        <v>101</v>
      </c>
      <c r="B81" s="11" t="n">
        <v>9</v>
      </c>
      <c r="C81" s="11" t="n">
        <v>-37</v>
      </c>
      <c r="D81" s="11" t="n">
        <v>-7</v>
      </c>
      <c r="E81" s="12" t="s">
        <v>90</v>
      </c>
    </row>
    <row r="82" customFormat="false" ht="15" hidden="false" customHeight="true" outlineLevel="0" collapsed="false">
      <c r="A82" s="10" t="s">
        <v>102</v>
      </c>
      <c r="B82" s="11" t="n">
        <v>-32</v>
      </c>
      <c r="C82" s="11" t="n">
        <v>-38</v>
      </c>
      <c r="D82" s="11" t="n">
        <v>-44</v>
      </c>
      <c r="E82" s="12" t="s">
        <v>90</v>
      </c>
    </row>
    <row r="83" customFormat="false" ht="15" hidden="false" customHeight="true" outlineLevel="0" collapsed="false">
      <c r="A83" s="10" t="s">
        <v>103</v>
      </c>
      <c r="B83" s="11" t="n">
        <v>-78</v>
      </c>
      <c r="C83" s="11" t="n">
        <v>-41</v>
      </c>
      <c r="D83" s="11" t="n">
        <v>6</v>
      </c>
      <c r="E83" s="12" t="s">
        <v>90</v>
      </c>
    </row>
    <row r="84" customFormat="false" ht="15" hidden="false" customHeight="true" outlineLevel="0" collapsed="false">
      <c r="A84" s="13" t="s">
        <v>104</v>
      </c>
      <c r="B84" s="14" t="n">
        <v>1323</v>
      </c>
      <c r="C84" s="14" t="n">
        <v>1503</v>
      </c>
      <c r="D84" s="14" t="n">
        <v>1714</v>
      </c>
      <c r="E84" s="15" t="s">
        <v>90</v>
      </c>
    </row>
    <row r="85" customFormat="false" ht="15" hidden="false" customHeight="true" outlineLevel="0" collapsed="false">
      <c r="A85" s="10" t="s">
        <v>105</v>
      </c>
      <c r="B85" s="11" t="n">
        <v>-120</v>
      </c>
      <c r="C85" s="11" t="n">
        <v>-201</v>
      </c>
      <c r="D85" s="11" t="n">
        <v>-265</v>
      </c>
      <c r="E85" s="12" t="s">
        <v>90</v>
      </c>
    </row>
    <row r="86" customFormat="false" ht="15" hidden="false" customHeight="true" outlineLevel="0" collapsed="false">
      <c r="A86" s="10" t="s">
        <v>106</v>
      </c>
      <c r="B86" s="11" t="n">
        <v>37</v>
      </c>
      <c r="C86" s="11" t="n">
        <v>34</v>
      </c>
      <c r="D86" s="11" t="n">
        <v>38</v>
      </c>
      <c r="E86" s="12" t="s">
        <v>90</v>
      </c>
    </row>
    <row r="87" customFormat="false" ht="15" hidden="false" customHeight="true" outlineLevel="0" collapsed="false">
      <c r="A87" s="10" t="s">
        <v>107</v>
      </c>
      <c r="B87" s="11" t="n">
        <v>-17</v>
      </c>
      <c r="C87" s="11" t="n">
        <v>-540</v>
      </c>
      <c r="D87" s="11" t="n">
        <v>-152</v>
      </c>
      <c r="E87" s="12" t="s">
        <v>90</v>
      </c>
    </row>
    <row r="88" customFormat="false" ht="15" hidden="false" customHeight="true" outlineLevel="0" collapsed="false">
      <c r="A88" s="10" t="s">
        <v>108</v>
      </c>
      <c r="B88" s="11" t="n">
        <v>112</v>
      </c>
      <c r="C88" s="11" t="n">
        <v>74</v>
      </c>
      <c r="D88" s="11" t="n">
        <v>76</v>
      </c>
      <c r="E88" s="12" t="s">
        <v>90</v>
      </c>
    </row>
    <row r="89" customFormat="false" ht="15" hidden="false" customHeight="true" outlineLevel="0" collapsed="false">
      <c r="A89" s="10" t="s">
        <v>109</v>
      </c>
      <c r="B89" s="11" t="n">
        <v>-1</v>
      </c>
      <c r="C89" s="11" t="n">
        <v>-27</v>
      </c>
      <c r="D89" s="11" t="n">
        <v>-15</v>
      </c>
      <c r="E89" s="12" t="s">
        <v>90</v>
      </c>
    </row>
    <row r="90" customFormat="false" ht="15" hidden="false" customHeight="true" outlineLevel="0" collapsed="false">
      <c r="A90" s="13" t="s">
        <v>110</v>
      </c>
      <c r="B90" s="14" t="n">
        <v>11</v>
      </c>
      <c r="C90" s="14" t="n">
        <v>-660</v>
      </c>
      <c r="D90" s="14" t="n">
        <v>-318</v>
      </c>
      <c r="E90" s="15" t="s">
        <v>90</v>
      </c>
    </row>
    <row r="91" customFormat="false" ht="15" hidden="false" customHeight="true" outlineLevel="0" collapsed="false">
      <c r="A91" s="10" t="s">
        <v>111</v>
      </c>
      <c r="B91" s="11" t="n">
        <v>55</v>
      </c>
      <c r="C91" s="11" t="n">
        <v>2450</v>
      </c>
      <c r="D91" s="11" t="n">
        <v>0</v>
      </c>
      <c r="E91" s="12" t="s">
        <v>90</v>
      </c>
    </row>
    <row r="92" customFormat="false" ht="15" hidden="false" customHeight="true" outlineLevel="0" collapsed="false">
      <c r="A92" s="10" t="s">
        <v>112</v>
      </c>
      <c r="B92" s="11" t="n">
        <v>-92</v>
      </c>
      <c r="C92" s="11" t="n">
        <v>-2190</v>
      </c>
      <c r="D92" s="11" t="n">
        <v>-427</v>
      </c>
      <c r="E92" s="12" t="s">
        <v>90</v>
      </c>
    </row>
    <row r="93" customFormat="false" ht="15" hidden="false" customHeight="true" outlineLevel="0" collapsed="false">
      <c r="A93" s="10" t="s">
        <v>113</v>
      </c>
      <c r="B93" s="11" t="n">
        <v>-44</v>
      </c>
      <c r="C93" s="11" t="n">
        <v>-41</v>
      </c>
      <c r="D93" s="11" t="n">
        <v>0</v>
      </c>
      <c r="E93" s="12" t="s">
        <v>90</v>
      </c>
    </row>
    <row r="94" customFormat="false" ht="15" hidden="false" customHeight="true" outlineLevel="0" collapsed="false">
      <c r="A94" s="10" t="s">
        <v>114</v>
      </c>
      <c r="B94" s="11" t="n">
        <v>-990</v>
      </c>
      <c r="C94" s="11" t="n">
        <v>-1029</v>
      </c>
      <c r="D94" s="11" t="n">
        <v>-1108</v>
      </c>
      <c r="E94" s="12" t="s">
        <v>90</v>
      </c>
    </row>
    <row r="95" customFormat="false" ht="15" hidden="false" customHeight="true" outlineLevel="0" collapsed="false">
      <c r="A95" s="10" t="s">
        <v>115</v>
      </c>
      <c r="B95" s="11" t="n">
        <v>-500</v>
      </c>
      <c r="C95" s="11" t="n">
        <v>0</v>
      </c>
      <c r="D95" s="11" t="n">
        <v>0</v>
      </c>
      <c r="E95" s="12" t="s">
        <v>90</v>
      </c>
    </row>
    <row r="96" customFormat="false" ht="15" hidden="false" customHeight="true" outlineLevel="0" collapsed="false">
      <c r="A96" s="10" t="s">
        <v>116</v>
      </c>
      <c r="B96" s="11" t="n">
        <v>60</v>
      </c>
      <c r="C96" s="11" t="n">
        <v>78</v>
      </c>
      <c r="D96" s="11" t="n">
        <v>33</v>
      </c>
      <c r="E96" s="12" t="s">
        <v>90</v>
      </c>
    </row>
    <row r="97" customFormat="false" ht="15" hidden="false" customHeight="true" outlineLevel="0" collapsed="false">
      <c r="A97" s="10" t="s">
        <v>117</v>
      </c>
      <c r="B97" s="11" t="n">
        <v>141</v>
      </c>
      <c r="C97" s="11" t="n">
        <v>109</v>
      </c>
      <c r="D97" s="11" t="n">
        <v>67</v>
      </c>
      <c r="E97" s="12" t="s">
        <v>90</v>
      </c>
    </row>
    <row r="98" customFormat="false" ht="15" hidden="false" customHeight="true" outlineLevel="0" collapsed="false">
      <c r="A98" s="10" t="s">
        <v>118</v>
      </c>
      <c r="B98" s="11" t="n">
        <v>-4</v>
      </c>
      <c r="C98" s="11" t="n">
        <v>-2</v>
      </c>
      <c r="D98" s="11" t="n">
        <v>-1</v>
      </c>
      <c r="E98" s="12" t="s">
        <v>90</v>
      </c>
    </row>
    <row r="99" customFormat="false" ht="15" hidden="false" customHeight="true" outlineLevel="0" collapsed="false">
      <c r="A99" s="13" t="s">
        <v>119</v>
      </c>
      <c r="B99" s="14" t="n">
        <v>-1374</v>
      </c>
      <c r="C99" s="14" t="n">
        <v>-625</v>
      </c>
      <c r="D99" s="14" t="n">
        <v>-1436</v>
      </c>
      <c r="E99" s="15" t="s">
        <v>90</v>
      </c>
    </row>
    <row r="100" customFormat="false" ht="15" hidden="false" customHeight="true" outlineLevel="0" collapsed="false">
      <c r="A100" s="10" t="s">
        <v>120</v>
      </c>
      <c r="B100" s="11" t="n">
        <v>0</v>
      </c>
      <c r="C100" s="11" t="n">
        <v>0</v>
      </c>
      <c r="D100" s="11" t="n">
        <v>-81</v>
      </c>
      <c r="E100" s="12" t="s">
        <v>90</v>
      </c>
    </row>
    <row r="101" customFormat="false" ht="15" hidden="false" customHeight="true" outlineLevel="0" collapsed="false">
      <c r="A101" s="10" t="s">
        <v>121</v>
      </c>
      <c r="B101" s="11" t="n">
        <v>1</v>
      </c>
      <c r="C101" s="11" t="n">
        <v>-23</v>
      </c>
      <c r="D101" s="11" t="n">
        <v>16</v>
      </c>
      <c r="E101" s="12" t="s">
        <v>90</v>
      </c>
    </row>
    <row r="102" customFormat="false" ht="15" hidden="false" customHeight="true" outlineLevel="0" collapsed="false">
      <c r="A102" s="13" t="s">
        <v>122</v>
      </c>
      <c r="B102" s="14" t="n">
        <v>-39</v>
      </c>
      <c r="C102" s="14" t="n">
        <v>195</v>
      </c>
      <c r="D102" s="14" t="n">
        <v>-171</v>
      </c>
      <c r="E102" s="15" t="s">
        <v>90</v>
      </c>
    </row>
    <row r="103" customFormat="false" ht="15" hidden="false" customHeight="true" outlineLevel="0" collapsed="false">
      <c r="A103" s="10" t="s">
        <v>123</v>
      </c>
      <c r="B103" s="11" t="n">
        <v>1178</v>
      </c>
      <c r="C103" s="11" t="n">
        <v>1139</v>
      </c>
      <c r="D103" s="11" t="n">
        <v>1334</v>
      </c>
      <c r="E103" s="12" t="s">
        <v>90</v>
      </c>
    </row>
    <row r="104" customFormat="false" ht="15" hidden="false" customHeight="true" outlineLevel="0" collapsed="false">
      <c r="A104" s="13" t="s">
        <v>124</v>
      </c>
      <c r="B104" s="14" t="n">
        <v>1139</v>
      </c>
      <c r="C104" s="14" t="n">
        <v>1334</v>
      </c>
      <c r="D104" s="14" t="n">
        <v>1163</v>
      </c>
      <c r="E104" s="15" t="s">
        <v>90</v>
      </c>
    </row>
    <row r="105" customFormat="false" ht="15" hidden="false" customHeight="true" outlineLevel="0" collapsed="false">
      <c r="A105" s="13" t="s">
        <v>125</v>
      </c>
      <c r="B105" s="14" t="n">
        <v>1203</v>
      </c>
      <c r="C105" s="14" t="n">
        <v>1302</v>
      </c>
      <c r="D105" s="14" t="n">
        <v>1449</v>
      </c>
      <c r="E105" s="15" t="s">
        <v>90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3"/>
  </cols>
  <sheetData>
    <row r="1" customFormat="false" ht="18" hidden="false" customHeight="true" outlineLevel="0" collapsed="false">
      <c r="A1" s="8" t="s">
        <v>126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127</v>
      </c>
      <c r="B3" s="9" t="s">
        <v>128</v>
      </c>
      <c r="C3" s="9" t="s">
        <v>129</v>
      </c>
      <c r="D3" s="9" t="s">
        <v>130</v>
      </c>
      <c r="E3" s="9" t="s">
        <v>131</v>
      </c>
    </row>
    <row r="4" customFormat="false" ht="15" hidden="false" customHeight="true" outlineLevel="0" collapsed="false">
      <c r="A4" s="22" t="s">
        <v>132</v>
      </c>
      <c r="B4" s="11" t="n">
        <v>7573</v>
      </c>
      <c r="C4" s="11" t="n">
        <v>4247</v>
      </c>
      <c r="D4" s="11" t="n">
        <v>1077</v>
      </c>
      <c r="E4" s="11" t="n">
        <v>4586</v>
      </c>
    </row>
    <row r="5" customFormat="false" ht="15" hidden="false" customHeight="true" outlineLevel="0" collapsed="false">
      <c r="A5" s="22" t="s">
        <v>133</v>
      </c>
      <c r="B5" s="11" t="n">
        <v>11578</v>
      </c>
      <c r="C5" s="11" t="n">
        <v>1514</v>
      </c>
      <c r="D5" s="11" t="n">
        <v>468</v>
      </c>
      <c r="E5" s="11" t="n">
        <v>7025</v>
      </c>
    </row>
    <row r="6" customFormat="false" ht="15" hidden="false" customHeight="true" outlineLevel="0" collapsed="false">
      <c r="A6" s="22" t="s">
        <v>134</v>
      </c>
      <c r="B6" s="11" t="n">
        <v>6076</v>
      </c>
      <c r="C6" s="11" t="n">
        <v>800</v>
      </c>
      <c r="D6" s="11" t="n">
        <v>250</v>
      </c>
      <c r="E6" s="11" t="n">
        <v>3578</v>
      </c>
    </row>
    <row r="7" customFormat="false" ht="15" hidden="false" customHeight="true" outlineLevel="0" collapsed="false">
      <c r="A7" s="22" t="s">
        <v>135</v>
      </c>
      <c r="B7" s="11" t="n">
        <v>1337</v>
      </c>
      <c r="C7" s="11" t="n">
        <v>232</v>
      </c>
      <c r="D7" s="11" t="n">
        <v>56</v>
      </c>
      <c r="E7" s="11" t="n">
        <v>1449</v>
      </c>
    </row>
    <row r="8" customFormat="false" ht="15" hidden="false" customHeight="true" outlineLevel="0" collapsed="false">
      <c r="A8" s="22" t="s">
        <v>136</v>
      </c>
      <c r="B8" s="11" t="n">
        <v>20199</v>
      </c>
      <c r="C8" s="11" t="n">
        <v>998</v>
      </c>
      <c r="D8" s="11" t="n">
        <v>690</v>
      </c>
      <c r="E8" s="11" t="n">
        <v>16403</v>
      </c>
    </row>
    <row r="9" customFormat="false" ht="15" hidden="false" customHeight="true" outlineLevel="0" collapsed="false">
      <c r="A9" s="22" t="s">
        <v>137</v>
      </c>
      <c r="B9" s="17"/>
      <c r="C9" s="11" t="n">
        <v>1840</v>
      </c>
      <c r="D9" s="11" t="n">
        <v>44</v>
      </c>
      <c r="E9" s="11" t="n">
        <v>1087</v>
      </c>
    </row>
    <row r="10" customFormat="false" ht="15" hidden="false" customHeight="true" outlineLevel="0" collapsed="false">
      <c r="A10" s="22" t="s">
        <v>138</v>
      </c>
      <c r="B10" s="17"/>
      <c r="C10" s="11" t="n">
        <v>-197</v>
      </c>
      <c r="D10" s="17"/>
      <c r="E10" s="17"/>
    </row>
    <row r="11" customFormat="false" ht="15" hidden="false" customHeight="true" outlineLevel="0" collapsed="false">
      <c r="A11" s="13" t="s">
        <v>139</v>
      </c>
      <c r="B11" s="14" t="n">
        <v>46763</v>
      </c>
      <c r="C11" s="14" t="n">
        <v>9434</v>
      </c>
      <c r="D11" s="14" t="n">
        <v>2584</v>
      </c>
      <c r="E11" s="14" t="n">
        <v>34128</v>
      </c>
    </row>
    <row r="12" customFormat="false" ht="15" hidden="false" customHeight="true" outlineLevel="0" collapsed="false">
      <c r="B12" s="17"/>
      <c r="C12" s="17"/>
      <c r="D12" s="17"/>
      <c r="E12" s="17"/>
    </row>
    <row r="13" customFormat="false" ht="18" hidden="false" customHeight="true" outlineLevel="0" collapsed="false">
      <c r="A13" s="9" t="s">
        <v>140</v>
      </c>
      <c r="B13" s="20" t="s">
        <v>128</v>
      </c>
      <c r="C13" s="20" t="s">
        <v>129</v>
      </c>
      <c r="D13" s="20" t="s">
        <v>130</v>
      </c>
      <c r="E13" s="20" t="s">
        <v>131</v>
      </c>
    </row>
    <row r="14" customFormat="false" ht="15" hidden="false" customHeight="true" outlineLevel="0" collapsed="false">
      <c r="A14" s="22" t="s">
        <v>132</v>
      </c>
      <c r="B14" s="11" t="n">
        <v>7479</v>
      </c>
      <c r="C14" s="11" t="n">
        <v>4040</v>
      </c>
      <c r="D14" s="11" t="n">
        <v>1043</v>
      </c>
      <c r="E14" s="11" t="n">
        <v>4539</v>
      </c>
    </row>
    <row r="15" customFormat="false" ht="15" hidden="false" customHeight="true" outlineLevel="0" collapsed="false">
      <c r="A15" s="22" t="s">
        <v>133</v>
      </c>
      <c r="B15" s="11" t="n">
        <v>11484</v>
      </c>
      <c r="C15" s="11" t="n">
        <v>1450</v>
      </c>
      <c r="D15" s="11" t="n">
        <v>410</v>
      </c>
      <c r="E15" s="11" t="n">
        <v>7082</v>
      </c>
    </row>
    <row r="16" customFormat="false" ht="15" hidden="false" customHeight="true" outlineLevel="0" collapsed="false">
      <c r="A16" s="22" t="s">
        <v>134</v>
      </c>
      <c r="B16" s="11" t="n">
        <v>6124</v>
      </c>
      <c r="C16" s="11" t="n">
        <v>768</v>
      </c>
      <c r="D16" s="11" t="n">
        <v>243</v>
      </c>
      <c r="E16" s="11" t="n">
        <v>3520</v>
      </c>
    </row>
    <row r="17" customFormat="false" ht="15" hidden="false" customHeight="true" outlineLevel="0" collapsed="false">
      <c r="A17" s="22" t="s">
        <v>135</v>
      </c>
      <c r="B17" s="11" t="n">
        <v>1233</v>
      </c>
      <c r="C17" s="11" t="n">
        <v>214</v>
      </c>
      <c r="D17" s="11" t="n">
        <v>48</v>
      </c>
      <c r="E17" s="11" t="n">
        <v>1345</v>
      </c>
    </row>
    <row r="18" customFormat="false" ht="15" hidden="false" customHeight="true" outlineLevel="0" collapsed="false">
      <c r="A18" s="22" t="s">
        <v>136</v>
      </c>
      <c r="B18" s="11" t="n">
        <v>18156</v>
      </c>
      <c r="C18" s="11" t="n">
        <v>935</v>
      </c>
      <c r="D18" s="11" t="n">
        <v>614</v>
      </c>
      <c r="E18" s="11" t="n">
        <v>15639</v>
      </c>
    </row>
    <row r="19" customFormat="false" ht="15" hidden="false" customHeight="true" outlineLevel="0" collapsed="false">
      <c r="A19" s="22" t="s">
        <v>137</v>
      </c>
      <c r="B19" s="17"/>
      <c r="C19" s="11" t="n">
        <v>1116</v>
      </c>
      <c r="D19" s="11" t="n">
        <v>44</v>
      </c>
      <c r="E19" s="11" t="n">
        <v>1036</v>
      </c>
    </row>
    <row r="20" customFormat="false" ht="15" hidden="false" customHeight="true" outlineLevel="0" collapsed="false">
      <c r="A20" s="22" t="s">
        <v>138</v>
      </c>
      <c r="B20" s="17"/>
      <c r="C20" s="11" t="n">
        <v>-117</v>
      </c>
      <c r="D20" s="17"/>
      <c r="E20" s="17"/>
    </row>
    <row r="21" customFormat="false" ht="15" hidden="false" customHeight="true" outlineLevel="0" collapsed="false">
      <c r="A21" s="13" t="s">
        <v>139</v>
      </c>
      <c r="B21" s="14" t="n">
        <v>44476</v>
      </c>
      <c r="C21" s="14" t="n">
        <v>8406</v>
      </c>
      <c r="D21" s="14" t="n">
        <v>2402</v>
      </c>
      <c r="E21" s="14" t="n">
        <v>33161</v>
      </c>
    </row>
    <row r="22" customFormat="false" ht="15" hidden="false" customHeight="true" outlineLevel="0" collapsed="false"/>
    <row r="23" customFormat="false" ht="18" hidden="false" customHeight="true" outlineLevel="0" collapsed="false">
      <c r="A23" s="23" t="s">
        <v>141</v>
      </c>
      <c r="B23" s="23"/>
      <c r="C23" s="23"/>
      <c r="D23" s="23"/>
      <c r="E23" s="23"/>
      <c r="F23" s="23"/>
      <c r="G23" s="23"/>
      <c r="H23" s="23"/>
    </row>
  </sheetData>
  <mergeCells count="2">
    <mergeCell ref="A1:H1"/>
    <mergeCell ref="A23:H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3"/>
    <col collapsed="false" customWidth="true" hidden="false" outlineLevel="0" max="7" min="7" style="0" width="48"/>
    <col collapsed="false" customWidth="true" hidden="false" outlineLevel="0" max="8" min="8" style="0" width="12"/>
  </cols>
  <sheetData>
    <row r="1" customFormat="false" ht="18" hidden="false" customHeight="true" outlineLevel="0" collapsed="false">
      <c r="A1" s="8" t="s">
        <v>142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143</v>
      </c>
      <c r="B3" s="9" t="s">
        <v>144</v>
      </c>
      <c r="C3" s="9" t="s">
        <v>145</v>
      </c>
      <c r="D3" s="9" t="s">
        <v>146</v>
      </c>
      <c r="E3" s="9" t="s">
        <v>147</v>
      </c>
      <c r="F3" s="9" t="s">
        <v>148</v>
      </c>
      <c r="G3" s="9" t="s">
        <v>149</v>
      </c>
      <c r="H3" s="9" t="s">
        <v>19</v>
      </c>
    </row>
    <row r="4" customFormat="false" ht="30" hidden="false" customHeight="true" outlineLevel="0" collapsed="false">
      <c r="A4" s="22" t="s">
        <v>150</v>
      </c>
      <c r="B4" s="24" t="n">
        <v>0.045</v>
      </c>
      <c r="C4" s="24" t="n">
        <v>0.04</v>
      </c>
      <c r="D4" s="24" t="n">
        <v>0.038</v>
      </c>
      <c r="E4" s="24" t="n">
        <v>0.035</v>
      </c>
      <c r="F4" s="24" t="n">
        <v>0.033</v>
      </c>
      <c r="G4" s="25" t="s">
        <v>151</v>
      </c>
      <c r="H4" s="10" t="s">
        <v>143</v>
      </c>
    </row>
    <row r="5" customFormat="false" ht="30" hidden="false" customHeight="true" outlineLevel="0" collapsed="false">
      <c r="A5" s="22" t="s">
        <v>152</v>
      </c>
      <c r="B5" s="24" t="n">
        <v>0.238</v>
      </c>
      <c r="C5" s="24" t="n">
        <v>0.242</v>
      </c>
      <c r="D5" s="24" t="n">
        <v>0.246</v>
      </c>
      <c r="E5" s="24" t="n">
        <v>0.25</v>
      </c>
      <c r="F5" s="24" t="n">
        <v>0.252</v>
      </c>
      <c r="G5" s="25" t="s">
        <v>153</v>
      </c>
      <c r="H5" s="10" t="s">
        <v>143</v>
      </c>
    </row>
    <row r="6" customFormat="false" ht="30" hidden="false" customHeight="true" outlineLevel="0" collapsed="false">
      <c r="A6" s="22" t="s">
        <v>154</v>
      </c>
      <c r="B6" s="24" t="n">
        <v>0.24</v>
      </c>
      <c r="C6" s="24" t="n">
        <v>0.24</v>
      </c>
      <c r="D6" s="24" t="n">
        <v>0.24</v>
      </c>
      <c r="E6" s="24" t="n">
        <v>0.24</v>
      </c>
      <c r="F6" s="24" t="n">
        <v>0.24</v>
      </c>
      <c r="G6" s="25" t="s">
        <v>155</v>
      </c>
      <c r="H6" s="10" t="s">
        <v>143</v>
      </c>
    </row>
    <row r="7" customFormat="false" ht="30" hidden="false" customHeight="true" outlineLevel="0" collapsed="false">
      <c r="A7" s="22" t="s">
        <v>156</v>
      </c>
      <c r="B7" s="24" t="n">
        <v>0.032</v>
      </c>
      <c r="C7" s="24" t="n">
        <v>0.031</v>
      </c>
      <c r="D7" s="24" t="n">
        <v>0.03</v>
      </c>
      <c r="E7" s="24" t="n">
        <v>0.03</v>
      </c>
      <c r="F7" s="24" t="n">
        <v>0.029</v>
      </c>
      <c r="G7" s="25" t="s">
        <v>157</v>
      </c>
      <c r="H7" s="10" t="s">
        <v>143</v>
      </c>
    </row>
    <row r="8" customFormat="false" ht="30" hidden="false" customHeight="true" outlineLevel="0" collapsed="false">
      <c r="A8" s="22" t="s">
        <v>158</v>
      </c>
      <c r="B8" s="24" t="n">
        <v>0.03</v>
      </c>
      <c r="C8" s="24" t="n">
        <v>0.03</v>
      </c>
      <c r="D8" s="24" t="n">
        <v>0.03</v>
      </c>
      <c r="E8" s="24" t="n">
        <v>0.029</v>
      </c>
      <c r="F8" s="24" t="n">
        <v>0.029</v>
      </c>
      <c r="G8" s="25" t="s">
        <v>159</v>
      </c>
      <c r="H8" s="10" t="s">
        <v>143</v>
      </c>
    </row>
    <row r="9" customFormat="false" ht="30" hidden="false" customHeight="true" outlineLevel="0" collapsed="false">
      <c r="A9" s="22" t="s">
        <v>160</v>
      </c>
      <c r="B9" s="24" t="n">
        <v>0.07</v>
      </c>
      <c r="C9" s="24" t="n">
        <v>0.07</v>
      </c>
      <c r="D9" s="24" t="n">
        <v>0.07</v>
      </c>
      <c r="E9" s="24" t="n">
        <v>0.07</v>
      </c>
      <c r="F9" s="24" t="n">
        <v>0.07</v>
      </c>
      <c r="G9" s="25" t="s">
        <v>161</v>
      </c>
      <c r="H9" s="10" t="s">
        <v>143</v>
      </c>
    </row>
    <row r="10" customFormat="false" ht="15" hidden="false" customHeight="true" outlineLevel="0" collapsed="false">
      <c r="A10" s="22" t="s">
        <v>162</v>
      </c>
      <c r="B10" s="24" t="n">
        <v>0.085</v>
      </c>
      <c r="C10" s="24" t="n">
        <v>0.085</v>
      </c>
      <c r="D10" s="24" t="n">
        <v>0.085</v>
      </c>
      <c r="E10" s="24" t="n">
        <v>0.085</v>
      </c>
      <c r="F10" s="24" t="n">
        <v>0.085</v>
      </c>
      <c r="G10" s="25" t="s">
        <v>163</v>
      </c>
      <c r="H10" s="10" t="s">
        <v>143</v>
      </c>
    </row>
    <row r="11" customFormat="false" ht="15" hidden="false" customHeight="true" outlineLevel="0" collapsed="false">
      <c r="A11" s="22" t="s">
        <v>164</v>
      </c>
      <c r="B11" s="24" t="n">
        <v>0.025</v>
      </c>
      <c r="C11" s="24" t="n">
        <v>0.025</v>
      </c>
      <c r="D11" s="24" t="n">
        <v>0.025</v>
      </c>
      <c r="E11" s="24" t="n">
        <v>0.025</v>
      </c>
      <c r="F11" s="24" t="n">
        <v>0.025</v>
      </c>
      <c r="G11" s="25" t="s">
        <v>165</v>
      </c>
      <c r="H11" s="10" t="s">
        <v>143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48"/>
  </cols>
  <sheetData>
    <row r="1" customFormat="false" ht="18" hidden="false" customHeight="true" outlineLevel="0" collapsed="false">
      <c r="A1" s="8" t="s">
        <v>166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167</v>
      </c>
      <c r="B3" s="9" t="s">
        <v>28</v>
      </c>
      <c r="C3" s="9" t="s">
        <v>144</v>
      </c>
      <c r="D3" s="9" t="s">
        <v>145</v>
      </c>
      <c r="E3" s="9" t="s">
        <v>146</v>
      </c>
      <c r="F3" s="9" t="s">
        <v>147</v>
      </c>
      <c r="G3" s="9" t="s">
        <v>148</v>
      </c>
      <c r="H3" s="9" t="s">
        <v>168</v>
      </c>
    </row>
    <row r="4" customFormat="false" ht="15" hidden="false" customHeight="true" outlineLevel="0" collapsed="false">
      <c r="A4" s="13" t="s">
        <v>129</v>
      </c>
      <c r="B4" s="26" t="n">
        <f aca="false">Historical_Financials!D8</f>
        <v>9434</v>
      </c>
      <c r="C4" s="27" t="n">
        <f aca="false">B4*(1+Assumptions!B4)</f>
        <v>9858.53</v>
      </c>
      <c r="D4" s="27" t="n">
        <f aca="false">C4*(1+Assumptions!C4)</f>
        <v>10252.8712</v>
      </c>
      <c r="E4" s="27" t="n">
        <f aca="false">D4*(1+Assumptions!D4)</f>
        <v>10642.4803056</v>
      </c>
      <c r="F4" s="27" t="n">
        <f aca="false">E4*(1+Assumptions!E4)</f>
        <v>11014.967116296</v>
      </c>
      <c r="G4" s="27" t="n">
        <f aca="false">F4*(1+Assumptions!F4)</f>
        <v>11378.4610311338</v>
      </c>
      <c r="H4" s="28" t="s">
        <v>169</v>
      </c>
    </row>
    <row r="5" customFormat="false" ht="15" hidden="false" customHeight="true" outlineLevel="0" collapsed="false">
      <c r="A5" s="22" t="s">
        <v>150</v>
      </c>
      <c r="B5" s="29" t="n">
        <f aca="false">B4/Historical_Financials!C8-1</f>
        <v>0.12229359980966</v>
      </c>
      <c r="C5" s="30" t="n">
        <f aca="false">C4/B4-1</f>
        <v>0.0449999999999999</v>
      </c>
      <c r="D5" s="30" t="n">
        <f aca="false">D4/C4-1</f>
        <v>0.04</v>
      </c>
      <c r="E5" s="30" t="n">
        <f aca="false">E4/D4-1</f>
        <v>0.038</v>
      </c>
      <c r="F5" s="30" t="n">
        <f aca="false">F4/E4-1</f>
        <v>0.0349999999999999</v>
      </c>
      <c r="G5" s="30" t="n">
        <f aca="false">G4/F4-1</f>
        <v>0.0329999999999999</v>
      </c>
      <c r="H5" s="25" t="s">
        <v>170</v>
      </c>
    </row>
    <row r="6" customFormat="false" ht="15" hidden="false" customHeight="true" outlineLevel="0" collapsed="false">
      <c r="A6" s="13" t="s">
        <v>171</v>
      </c>
      <c r="B6" s="26" t="n">
        <f aca="false">Historical_Financials!D17</f>
        <v>2202</v>
      </c>
      <c r="C6" s="27" t="n">
        <f aca="false">C4*Assumptions!B5</f>
        <v>2346.33014</v>
      </c>
      <c r="D6" s="27" t="n">
        <f aca="false">D4*Assumptions!C5</f>
        <v>2481.1948304</v>
      </c>
      <c r="E6" s="27" t="n">
        <f aca="false">E4*Assumptions!D5</f>
        <v>2618.0501551776</v>
      </c>
      <c r="F6" s="27" t="n">
        <f aca="false">F4*Assumptions!E5</f>
        <v>2753.741779074</v>
      </c>
      <c r="G6" s="27" t="n">
        <f aca="false">G4*Assumptions!F5</f>
        <v>2867.37217984571</v>
      </c>
      <c r="H6" s="28" t="s">
        <v>172</v>
      </c>
    </row>
    <row r="7" customFormat="false" ht="15" hidden="false" customHeight="true" outlineLevel="0" collapsed="false">
      <c r="A7" s="22" t="s">
        <v>152</v>
      </c>
      <c r="B7" s="29" t="n">
        <f aca="false">B6/B4</f>
        <v>0.233411066355735</v>
      </c>
      <c r="C7" s="30" t="n">
        <f aca="false">C6/C4</f>
        <v>0.238</v>
      </c>
      <c r="D7" s="30" t="n">
        <f aca="false">D6/D4</f>
        <v>0.242</v>
      </c>
      <c r="E7" s="30" t="n">
        <f aca="false">E6/E4</f>
        <v>0.246</v>
      </c>
      <c r="F7" s="30" t="n">
        <f aca="false">F6/F4</f>
        <v>0.25</v>
      </c>
      <c r="G7" s="30" t="n">
        <f aca="false">G6/G4</f>
        <v>0.252</v>
      </c>
      <c r="H7" s="25" t="s">
        <v>170</v>
      </c>
    </row>
    <row r="8" customFormat="false" ht="15" hidden="false" customHeight="true" outlineLevel="0" collapsed="false">
      <c r="A8" s="22" t="s">
        <v>173</v>
      </c>
      <c r="B8" s="31" t="n">
        <f aca="false">Historical_Financials!D21</f>
        <v>483</v>
      </c>
      <c r="C8" s="32" t="n">
        <f aca="false">C6*Assumptions!B6</f>
        <v>563.1192336</v>
      </c>
      <c r="D8" s="32" t="n">
        <f aca="false">D6*Assumptions!C6</f>
        <v>595.486759296</v>
      </c>
      <c r="E8" s="32" t="n">
        <f aca="false">E6*Assumptions!D6</f>
        <v>628.332037242624</v>
      </c>
      <c r="F8" s="32" t="n">
        <f aca="false">F6*Assumptions!E6</f>
        <v>660.89802697776</v>
      </c>
      <c r="G8" s="32" t="n">
        <f aca="false">G6*Assumptions!F6</f>
        <v>688.16932316297</v>
      </c>
      <c r="H8" s="25" t="s">
        <v>174</v>
      </c>
    </row>
    <row r="9" customFormat="false" ht="15" hidden="false" customHeight="true" outlineLevel="0" collapsed="false">
      <c r="A9" s="22" t="s">
        <v>175</v>
      </c>
      <c r="B9" s="31" t="n">
        <f aca="false">B6-B8</f>
        <v>1719</v>
      </c>
      <c r="C9" s="32" t="n">
        <f aca="false">C6-C8</f>
        <v>1783.2109064</v>
      </c>
      <c r="D9" s="32" t="n">
        <f aca="false">D6-D8</f>
        <v>1885.708071104</v>
      </c>
      <c r="E9" s="32" t="n">
        <f aca="false">E6-E8</f>
        <v>1989.71811793498</v>
      </c>
      <c r="F9" s="32" t="n">
        <f aca="false">F6-F8</f>
        <v>2092.84375209624</v>
      </c>
      <c r="G9" s="32" t="n">
        <f aca="false">G6-G8</f>
        <v>2179.20285668274</v>
      </c>
      <c r="H9" s="25" t="s">
        <v>170</v>
      </c>
    </row>
    <row r="10" customFormat="false" ht="15" hidden="false" customHeight="true" outlineLevel="0" collapsed="false">
      <c r="A10" s="13" t="s">
        <v>176</v>
      </c>
      <c r="B10" s="26" t="n">
        <f aca="false">Historical_Financials!D69</f>
        <v>301</v>
      </c>
      <c r="C10" s="27" t="n">
        <f aca="false">C4*Assumptions!B7</f>
        <v>315.47296</v>
      </c>
      <c r="D10" s="27" t="n">
        <f aca="false">D4*Assumptions!C7</f>
        <v>317.8390072</v>
      </c>
      <c r="E10" s="27" t="n">
        <f aca="false">E4*Assumptions!D7</f>
        <v>319.274409168</v>
      </c>
      <c r="F10" s="27" t="n">
        <f aca="false">F4*Assumptions!E7</f>
        <v>330.44901348888</v>
      </c>
      <c r="G10" s="27" t="n">
        <f aca="false">G4*Assumptions!F7</f>
        <v>329.975369902879</v>
      </c>
      <c r="H10" s="28" t="s">
        <v>177</v>
      </c>
    </row>
    <row r="11" customFormat="false" ht="15" hidden="false" customHeight="true" outlineLevel="0" collapsed="false">
      <c r="A11" s="22" t="s">
        <v>178</v>
      </c>
      <c r="B11" s="31" t="n">
        <f aca="false">-Historical_Financials!D85</f>
        <v>265</v>
      </c>
      <c r="C11" s="32" t="n">
        <f aca="false">C4*Assumptions!B8</f>
        <v>295.7559</v>
      </c>
      <c r="D11" s="32" t="n">
        <f aca="false">D4*Assumptions!C8</f>
        <v>307.586136</v>
      </c>
      <c r="E11" s="32" t="n">
        <f aca="false">E4*Assumptions!D8</f>
        <v>319.274409168</v>
      </c>
      <c r="F11" s="32" t="n">
        <f aca="false">F4*Assumptions!E8</f>
        <v>319.434046372584</v>
      </c>
      <c r="G11" s="32" t="n">
        <f aca="false">G4*Assumptions!F8</f>
        <v>329.975369902879</v>
      </c>
      <c r="H11" s="25" t="s">
        <v>177</v>
      </c>
    </row>
    <row r="12" customFormat="false" ht="45" hidden="false" customHeight="true" outlineLevel="0" collapsed="false">
      <c r="A12" s="22" t="s">
        <v>179</v>
      </c>
      <c r="B12" s="31" t="n">
        <f aca="false">-(Historical_Financials!D78+Historical_Financials!D79+Historical_Financials!D80+Historical_Financials!D81)</f>
        <v>74</v>
      </c>
      <c r="C12" s="32" t="n">
        <f aca="false">-(C4-B4)*Assumptions!B9</f>
        <v>-29.7170999999999</v>
      </c>
      <c r="D12" s="32" t="n">
        <f aca="false">-(D4-C4)*Assumptions!C9</f>
        <v>-27.6038840000001</v>
      </c>
      <c r="E12" s="32" t="n">
        <f aca="false">-(E4-D4)*Assumptions!D9</f>
        <v>-27.272637392</v>
      </c>
      <c r="F12" s="32" t="n">
        <f aca="false">-(F4-E4)*Assumptions!E9</f>
        <v>-26.0740767487199</v>
      </c>
      <c r="G12" s="32" t="n">
        <f aca="false">-(G4-F4)*Assumptions!F9</f>
        <v>-25.4445740386437</v>
      </c>
      <c r="H12" s="25" t="s">
        <v>180</v>
      </c>
    </row>
    <row r="13" customFormat="false" ht="15" hidden="false" customHeight="true" outlineLevel="0" collapsed="false">
      <c r="A13" s="22" t="s">
        <v>181</v>
      </c>
      <c r="B13" s="31" t="n">
        <f aca="false">B9+B10-B11+B12</f>
        <v>1829</v>
      </c>
      <c r="C13" s="32" t="n">
        <f aca="false">C9+C10-C11+C12</f>
        <v>1773.2108664</v>
      </c>
      <c r="D13" s="32" t="n">
        <f aca="false">D9+D10-D11+D12</f>
        <v>1868.357058304</v>
      </c>
      <c r="E13" s="32" t="n">
        <f aca="false">E9+E10-E11+E12</f>
        <v>1962.44548054298</v>
      </c>
      <c r="F13" s="32" t="n">
        <f aca="false">F9+F10-F11+F12</f>
        <v>2077.78464246382</v>
      </c>
      <c r="G13" s="32" t="n">
        <f aca="false">G9+G10-G11+G12</f>
        <v>2153.7582826441</v>
      </c>
      <c r="H13" s="25" t="s">
        <v>170</v>
      </c>
    </row>
    <row r="14" customFormat="false" ht="15" hidden="false" customHeight="true" outlineLevel="0" collapsed="false">
      <c r="A14" s="13" t="s">
        <v>182</v>
      </c>
      <c r="B14" s="26" t="n">
        <f aca="false">Historical_Financials!D104</f>
        <v>1163</v>
      </c>
      <c r="C14" s="27" t="n">
        <f aca="false">B14+C13</f>
        <v>2936.2108664</v>
      </c>
      <c r="D14" s="27" t="n">
        <f aca="false">C14+D13</f>
        <v>4804.567924704</v>
      </c>
      <c r="E14" s="27" t="n">
        <f aca="false">D14+E13</f>
        <v>6767.01340524698</v>
      </c>
      <c r="F14" s="27" t="n">
        <f aca="false">E14+F13</f>
        <v>8844.79804771079</v>
      </c>
      <c r="G14" s="27" t="n">
        <f aca="false">F14+G13</f>
        <v>10998.5563303549</v>
      </c>
      <c r="H14" s="28" t="s">
        <v>183</v>
      </c>
    </row>
    <row r="15" customFormat="false" ht="30" hidden="false" customHeight="true" outlineLevel="0" collapsed="false">
      <c r="A15" s="22" t="s">
        <v>184</v>
      </c>
      <c r="B15" s="31" t="n">
        <f aca="false">Historical_Financials!D46+Historical_Financials!D49+Historical_Financials!D50</f>
        <v>13579</v>
      </c>
      <c r="C15" s="32" t="n">
        <f aca="false">B15</f>
        <v>13579</v>
      </c>
      <c r="D15" s="32" t="n">
        <f aca="false">C15</f>
        <v>13579</v>
      </c>
      <c r="E15" s="32" t="n">
        <f aca="false">D15</f>
        <v>13579</v>
      </c>
      <c r="F15" s="32" t="n">
        <f aca="false">E15</f>
        <v>13579</v>
      </c>
      <c r="G15" s="32" t="n">
        <f aca="false">F15</f>
        <v>13579</v>
      </c>
      <c r="H15" s="25" t="s">
        <v>185</v>
      </c>
    </row>
    <row r="16" customFormat="false" ht="30" hidden="false" customHeight="true" outlineLevel="0" collapsed="false">
      <c r="A16" s="22" t="s">
        <v>186</v>
      </c>
      <c r="B16" s="31" t="n">
        <f aca="false">0</f>
        <v>0</v>
      </c>
      <c r="C16" s="32" t="n">
        <f aca="false">C15-C14</f>
        <v>10642.7891336</v>
      </c>
      <c r="D16" s="32" t="n">
        <f aca="false">D15-D14</f>
        <v>8774.432075296</v>
      </c>
      <c r="E16" s="32" t="n">
        <f aca="false">E15-E14</f>
        <v>6811.98659475302</v>
      </c>
      <c r="F16" s="32" t="n">
        <f aca="false">F15-F14</f>
        <v>4734.20195228921</v>
      </c>
      <c r="G16" s="32" t="n">
        <f aca="false">G15-G14</f>
        <v>2580.44366964511</v>
      </c>
      <c r="H16" s="25" t="s">
        <v>187</v>
      </c>
    </row>
    <row r="17" customFormat="false" ht="15" hidden="false" customHeight="true" outlineLevel="0" collapsed="false">
      <c r="A17" s="22" t="s">
        <v>188</v>
      </c>
      <c r="B17" s="31" t="n">
        <f aca="false">0</f>
        <v>0</v>
      </c>
      <c r="C17" s="32" t="n">
        <f aca="false">C14+C16-C15</f>
        <v>0</v>
      </c>
      <c r="D17" s="32" t="n">
        <f aca="false">D14+D16-D15</f>
        <v>0</v>
      </c>
      <c r="E17" s="32" t="n">
        <f aca="false">E14+E16-E15</f>
        <v>0</v>
      </c>
      <c r="F17" s="32" t="n">
        <f aca="false">F14+F16-F15</f>
        <v>0</v>
      </c>
      <c r="G17" s="32" t="n">
        <f aca="false">G14+G16-G15</f>
        <v>0</v>
      </c>
      <c r="H17" s="25" t="s">
        <v>189</v>
      </c>
    </row>
    <row r="18" customFormat="false" ht="15" hidden="false" customHeight="true" outlineLevel="0" collapsed="false">
      <c r="B18" s="33"/>
      <c r="C18" s="34"/>
      <c r="D18" s="34"/>
      <c r="E18" s="34"/>
      <c r="F18" s="34"/>
      <c r="G18" s="34"/>
      <c r="H18" s="16"/>
    </row>
    <row r="19" customFormat="false" ht="15" hidden="false" customHeight="true" outlineLevel="0" collapsed="false">
      <c r="A19" s="35"/>
      <c r="B19" s="36"/>
      <c r="C19" s="37"/>
      <c r="D19" s="37"/>
      <c r="E19" s="37"/>
      <c r="F19" s="37"/>
      <c r="G19" s="37"/>
      <c r="H19" s="38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48"/>
  </cols>
  <sheetData>
    <row r="1" customFormat="false" ht="18" hidden="false" customHeight="true" outlineLevel="0" collapsed="false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167</v>
      </c>
      <c r="B3" s="9" t="s">
        <v>144</v>
      </c>
      <c r="C3" s="9" t="s">
        <v>145</v>
      </c>
      <c r="D3" s="9" t="s">
        <v>146</v>
      </c>
      <c r="E3" s="9" t="s">
        <v>147</v>
      </c>
      <c r="F3" s="9" t="s">
        <v>148</v>
      </c>
      <c r="G3" s="9" t="s">
        <v>191</v>
      </c>
    </row>
    <row r="4" customFormat="false" ht="15" hidden="false" customHeight="true" outlineLevel="0" collapsed="false">
      <c r="A4" s="22" t="s">
        <v>181</v>
      </c>
      <c r="B4" s="39" t="n">
        <f aca="false">Forecast_Model!C13</f>
        <v>1773.2108664</v>
      </c>
      <c r="C4" s="39" t="n">
        <f aca="false">Forecast_Model!D13</f>
        <v>1868.357058304</v>
      </c>
      <c r="D4" s="39" t="n">
        <f aca="false">Forecast_Model!E13</f>
        <v>1962.44548054298</v>
      </c>
      <c r="E4" s="39" t="n">
        <f aca="false">Forecast_Model!F13</f>
        <v>2077.78464246382</v>
      </c>
      <c r="F4" s="39" t="n">
        <f aca="false">Forecast_Model!G13</f>
        <v>2153.7582826441</v>
      </c>
      <c r="G4" s="40" t="s">
        <v>192</v>
      </c>
    </row>
    <row r="5" customFormat="false" ht="15" hidden="false" customHeight="true" outlineLevel="0" collapsed="false">
      <c r="A5" s="22" t="s">
        <v>193</v>
      </c>
      <c r="B5" s="41" t="n">
        <v>0.5</v>
      </c>
      <c r="C5" s="41" t="n">
        <v>1.5</v>
      </c>
      <c r="D5" s="41" t="n">
        <v>2.5</v>
      </c>
      <c r="E5" s="41" t="n">
        <v>3.5</v>
      </c>
      <c r="F5" s="41" t="n">
        <v>4.5</v>
      </c>
      <c r="G5" s="40" t="s">
        <v>194</v>
      </c>
    </row>
    <row r="6" customFormat="false" ht="15" hidden="false" customHeight="true" outlineLevel="0" collapsed="false">
      <c r="A6" s="22" t="s">
        <v>195</v>
      </c>
      <c r="B6" s="42" t="n">
        <f aca="false">1/(1+Assumptions!B10)^B5</f>
        <v>0.960030721474639</v>
      </c>
      <c r="C6" s="42" t="n">
        <f aca="false">1/(1+Assumptions!B10)^C5</f>
        <v>0.88482094145128</v>
      </c>
      <c r="D6" s="42" t="n">
        <f aca="false">1/(1+Assumptions!B10)^D5</f>
        <v>0.815503171844498</v>
      </c>
      <c r="E6" s="42" t="n">
        <f aca="false">1/(1+Assumptions!B10)^E5</f>
        <v>0.751615826584791</v>
      </c>
      <c r="F6" s="42" t="n">
        <f aca="false">1/(1+Assumptions!B10)^F5</f>
        <v>0.692733480723309</v>
      </c>
      <c r="G6" s="40" t="s">
        <v>170</v>
      </c>
    </row>
    <row r="7" customFormat="false" ht="15" hidden="false" customHeight="true" outlineLevel="0" collapsed="false">
      <c r="A7" s="22" t="s">
        <v>196</v>
      </c>
      <c r="B7" s="39" t="n">
        <f aca="false">B4*B6</f>
        <v>1702.33690739666</v>
      </c>
      <c r="C7" s="39" t="n">
        <f aca="false">C4*C6</f>
        <v>1653.16145129569</v>
      </c>
      <c r="D7" s="39" t="n">
        <f aca="false">D4*D6</f>
        <v>1600.3805139547</v>
      </c>
      <c r="E7" s="39" t="n">
        <f aca="false">E4*E6</f>
        <v>1561.69582151062</v>
      </c>
      <c r="F7" s="39" t="n">
        <f aca="false">F4*F6</f>
        <v>1491.9804717727</v>
      </c>
      <c r="G7" s="40" t="s">
        <v>170</v>
      </c>
    </row>
    <row r="8" customFormat="false" ht="15" hidden="false" customHeight="true" outlineLevel="0" collapsed="false"/>
    <row r="9" customFormat="false" ht="18" hidden="false" customHeight="true" outlineLevel="0" collapsed="false">
      <c r="A9" s="2" t="s">
        <v>197</v>
      </c>
      <c r="B9" s="2" t="s">
        <v>198</v>
      </c>
      <c r="C9" s="2" t="s">
        <v>199</v>
      </c>
    </row>
    <row r="10" customFormat="false" ht="15" hidden="false" customHeight="true" outlineLevel="0" collapsed="false">
      <c r="A10" s="22" t="s">
        <v>200</v>
      </c>
      <c r="B10" s="32" t="n">
        <f aca="false">SUM(B7:F7)</f>
        <v>8009.55516593037</v>
      </c>
      <c r="C10" s="40" t="s">
        <v>201</v>
      </c>
    </row>
    <row r="11" customFormat="false" ht="15" hidden="false" customHeight="true" outlineLevel="0" collapsed="false">
      <c r="A11" s="22" t="s">
        <v>202</v>
      </c>
      <c r="B11" s="32" t="n">
        <f aca="false">F4*(1+Assumptions!B11)</f>
        <v>2207.6022397102</v>
      </c>
      <c r="C11" s="40" t="s">
        <v>203</v>
      </c>
    </row>
    <row r="12" customFormat="false" ht="15" hidden="false" customHeight="true" outlineLevel="0" collapsed="false">
      <c r="A12" s="22" t="s">
        <v>204</v>
      </c>
      <c r="B12" s="32" t="n">
        <f aca="false">B11/(Assumptions!B10-Assumptions!B11)</f>
        <v>36793.3706618366</v>
      </c>
      <c r="C12" s="40" t="s">
        <v>205</v>
      </c>
    </row>
    <row r="13" customFormat="false" ht="15" hidden="false" customHeight="true" outlineLevel="0" collapsed="false">
      <c r="A13" s="22" t="s">
        <v>206</v>
      </c>
      <c r="B13" s="32" t="n">
        <f aca="false">B12*F6</f>
        <v>25487.999726117</v>
      </c>
      <c r="C13" s="40" t="s">
        <v>207</v>
      </c>
    </row>
    <row r="14" customFormat="false" ht="15" hidden="false" customHeight="true" outlineLevel="0" collapsed="false">
      <c r="A14" s="22" t="s">
        <v>208</v>
      </c>
      <c r="B14" s="32" t="n">
        <f aca="false">B10+B13</f>
        <v>33497.5548920473</v>
      </c>
      <c r="C14" s="40" t="s">
        <v>209</v>
      </c>
    </row>
    <row r="15" customFormat="false" ht="15" hidden="false" customHeight="true" outlineLevel="0" collapsed="false">
      <c r="A15" s="22" t="s">
        <v>210</v>
      </c>
      <c r="B15" s="32" t="n">
        <f aca="false">Forecast_Model!B15</f>
        <v>13579</v>
      </c>
      <c r="C15" s="40" t="s">
        <v>211</v>
      </c>
    </row>
    <row r="16" customFormat="false" ht="15" hidden="false" customHeight="true" outlineLevel="0" collapsed="false">
      <c r="A16" s="22" t="s">
        <v>212</v>
      </c>
      <c r="B16" s="32" t="n">
        <f aca="false">Forecast_Model!B14</f>
        <v>1163</v>
      </c>
      <c r="C16" s="40" t="s">
        <v>213</v>
      </c>
    </row>
    <row r="17" customFormat="false" ht="15" hidden="false" customHeight="true" outlineLevel="0" collapsed="false">
      <c r="A17" s="22" t="s">
        <v>214</v>
      </c>
      <c r="B17" s="32" t="n">
        <f aca="false">B14-B15+B16</f>
        <v>21081.5548920473</v>
      </c>
      <c r="C17" s="40" t="s">
        <v>215</v>
      </c>
    </row>
    <row r="18" customFormat="false" ht="30" hidden="false" customHeight="true" outlineLevel="0" collapsed="false">
      <c r="A18" s="22" t="s">
        <v>216</v>
      </c>
      <c r="B18" s="32" t="n">
        <f aca="false">Historical_Financials!D27+Historical_Financials!D28</f>
        <v>336</v>
      </c>
      <c r="C18" s="40" t="s">
        <v>217</v>
      </c>
    </row>
    <row r="19" customFormat="false" ht="15" hidden="false" customHeight="true" outlineLevel="0" collapsed="false">
      <c r="A19" s="22" t="s">
        <v>218</v>
      </c>
      <c r="B19" s="43" t="n">
        <f aca="false">B17/B18</f>
        <v>62.742722892998</v>
      </c>
      <c r="C19" s="40" t="s">
        <v>219</v>
      </c>
    </row>
    <row r="20" customFormat="false" ht="15" hidden="false" customHeight="true" outlineLevel="0" collapsed="false"/>
    <row r="21" customFormat="false" ht="15" hidden="false" customHeight="true" outlineLevel="0" collapsed="false"/>
    <row r="22" customFormat="false" ht="18" hidden="false" customHeight="true" outlineLevel="0" collapsed="false">
      <c r="A22" s="6" t="s">
        <v>220</v>
      </c>
      <c r="B22" s="6"/>
      <c r="C22" s="6"/>
      <c r="D22" s="6"/>
      <c r="E22" s="6"/>
      <c r="F22" s="6"/>
      <c r="G22" s="6"/>
    </row>
    <row r="23" customFormat="false" ht="18" hidden="false" customHeight="true" outlineLevel="0" collapsed="false">
      <c r="A23" s="9" t="s">
        <v>221</v>
      </c>
      <c r="B23" s="9" t="s">
        <v>222</v>
      </c>
      <c r="C23" s="9" t="s">
        <v>223</v>
      </c>
      <c r="D23" s="9" t="s">
        <v>224</v>
      </c>
      <c r="E23" s="9" t="s">
        <v>225</v>
      </c>
      <c r="F23" s="9" t="s">
        <v>226</v>
      </c>
      <c r="G23" s="9" t="s">
        <v>227</v>
      </c>
    </row>
    <row r="24" customFormat="false" ht="30" hidden="false" customHeight="true" outlineLevel="0" collapsed="false">
      <c r="A24" s="44" t="n">
        <v>0.075</v>
      </c>
      <c r="B24" s="45" t="n">
        <f aca="false">($B$10+($B$11/(0.075-0.015))*$F$6-$B$15+$B$16)/$B$18</f>
        <v>62.7427228929981</v>
      </c>
      <c r="C24" s="45" t="n">
        <f aca="false">($B$10+($B$11/(0.075-0.02))*$F$6-$B$15+$B$16)/$B$18</f>
        <v>69.6388267149994</v>
      </c>
      <c r="D24" s="45" t="n">
        <f aca="false">($B$10+($B$11/(0.075-0.025))*$F$6-$B$15+$B$16)/$B$18</f>
        <v>77.914151301401</v>
      </c>
      <c r="E24" s="45" t="n">
        <f aca="false">($B$10+($B$11/(0.075-0.03))*$F$6-$B$15+$B$16)/$B$18</f>
        <v>88.028436907003</v>
      </c>
      <c r="F24" s="45" t="n">
        <f aca="false">($B$10+($B$11/(0.075-0.035))*$F$6-$B$15+$B$16)/$B$18</f>
        <v>100.671293914005</v>
      </c>
      <c r="G24" s="45" t="n">
        <f aca="false">($B$10+($B$11/(0.075-0.04))*$F$6-$B$15+$B$16)/$B$18</f>
        <v>116.926395780152</v>
      </c>
    </row>
    <row r="25" customFormat="false" ht="30" hidden="false" customHeight="true" outlineLevel="0" collapsed="false">
      <c r="A25" s="44" t="n">
        <v>0.08</v>
      </c>
      <c r="B25" s="45" t="n">
        <f aca="false">($B$10+($B$11/(0.08-0.015))*$F$6-$B$15+$B$16)/$B$18</f>
        <v>56.9075581205354</v>
      </c>
      <c r="C25" s="45" t="n">
        <f aca="false">($B$10+($B$11/(0.08-0.02))*$F$6-$B$15+$B$16)/$B$18</f>
        <v>62.7427228929981</v>
      </c>
      <c r="D25" s="45" t="n">
        <f aca="false">($B$10+($B$11/(0.08-0.025))*$F$6-$B$15+$B$16)/$B$18</f>
        <v>69.6388267149994</v>
      </c>
      <c r="E25" s="45" t="n">
        <f aca="false">($B$10+($B$11/(0.08-0.03))*$F$6-$B$15+$B$16)/$B$18</f>
        <v>77.914151301401</v>
      </c>
      <c r="F25" s="45" t="n">
        <f aca="false">($B$10+($B$11/(0.08-0.035))*$F$6-$B$15+$B$16)/$B$18</f>
        <v>88.028436907003</v>
      </c>
      <c r="G25" s="45" t="n">
        <f aca="false">($B$10+($B$11/(0.08-0.04))*$F$6-$B$15+$B$16)/$B$18</f>
        <v>100.671293914005</v>
      </c>
    </row>
    <row r="26" customFormat="false" ht="30" hidden="false" customHeight="true" outlineLevel="0" collapsed="false">
      <c r="A26" s="44" t="n">
        <v>0.085</v>
      </c>
      <c r="B26" s="45" t="n">
        <f aca="false">($B$10+($B$11/(0.085-0.015))*$F$6-$B$15+$B$16)/$B$18</f>
        <v>51.9059883155673</v>
      </c>
      <c r="C26" s="45" t="n">
        <f aca="false">($B$10+($B$11/(0.085-0.02))*$F$6-$B$15+$B$16)/$B$18</f>
        <v>56.9075581205354</v>
      </c>
      <c r="D26" s="45" t="n">
        <f aca="false">($B$10+($B$11/(0.085-0.025))*$F$6-$B$15+$B$16)/$B$18</f>
        <v>62.742722892998</v>
      </c>
      <c r="E26" s="45" t="n">
        <f aca="false">($B$10+($B$11/(0.085-0.03))*$F$6-$B$15+$B$16)/$B$18</f>
        <v>69.6388267149994</v>
      </c>
      <c r="F26" s="45" t="n">
        <f aca="false">($B$10+($B$11/(0.085-0.035))*$F$6-$B$15+$B$16)/$B$18</f>
        <v>77.914151301401</v>
      </c>
      <c r="G26" s="45" t="n">
        <f aca="false">($B$10+($B$11/(0.085-0.04))*$F$6-$B$15+$B$16)/$B$18</f>
        <v>88.028436907003</v>
      </c>
    </row>
    <row r="27" customFormat="false" ht="30" hidden="false" customHeight="true" outlineLevel="0" collapsed="false">
      <c r="A27" s="44" t="n">
        <v>0.09</v>
      </c>
      <c r="B27" s="45" t="n">
        <f aca="false">($B$10+($B$11/(0.09-0.015))*$F$6-$B$15+$B$16)/$B$18</f>
        <v>47.5712944845951</v>
      </c>
      <c r="C27" s="45" t="n">
        <f aca="false">($B$10+($B$11/(0.09-0.02))*$F$6-$B$15+$B$16)/$B$18</f>
        <v>51.9059883155674</v>
      </c>
      <c r="D27" s="45" t="n">
        <f aca="false">($B$10+($B$11/(0.09-0.025))*$F$6-$B$15+$B$16)/$B$18</f>
        <v>56.9075581205354</v>
      </c>
      <c r="E27" s="45" t="n">
        <f aca="false">($B$10+($B$11/(0.09-0.03))*$F$6-$B$15+$B$16)/$B$18</f>
        <v>62.7427228929981</v>
      </c>
      <c r="F27" s="45" t="n">
        <f aca="false">($B$10+($B$11/(0.09-0.035))*$F$6-$B$15+$B$16)/$B$18</f>
        <v>69.6388267149994</v>
      </c>
      <c r="G27" s="45" t="n">
        <f aca="false">($B$10+($B$11/(0.09-0.04))*$F$6-$B$15+$B$16)/$B$18</f>
        <v>77.914151301401</v>
      </c>
    </row>
    <row r="28" customFormat="false" ht="30" hidden="false" customHeight="true" outlineLevel="0" collapsed="false">
      <c r="A28" s="44" t="n">
        <v>0.095</v>
      </c>
      <c r="B28" s="45" t="n">
        <f aca="false">($B$10+($B$11/(0.095-0.015))*$F$6-$B$15+$B$16)/$B$18</f>
        <v>43.7784373824943</v>
      </c>
      <c r="C28" s="45" t="n">
        <f aca="false">($B$10+($B$11/(0.095-0.02))*$F$6-$B$15+$B$16)/$B$18</f>
        <v>47.5712944845951</v>
      </c>
      <c r="D28" s="45" t="n">
        <f aca="false">($B$10+($B$11/(0.095-0.025))*$F$6-$B$15+$B$16)/$B$18</f>
        <v>51.9059883155673</v>
      </c>
      <c r="E28" s="45" t="n">
        <f aca="false">($B$10+($B$11/(0.095-0.03))*$F$6-$B$15+$B$16)/$B$18</f>
        <v>56.9075581205354</v>
      </c>
      <c r="F28" s="45" t="n">
        <f aca="false">($B$10+($B$11/(0.095-0.035))*$F$6-$B$15+$B$16)/$B$18</f>
        <v>62.7427228929981</v>
      </c>
      <c r="G28" s="45" t="n">
        <f aca="false">($B$10+($B$11/(0.095-0.04))*$F$6-$B$15+$B$16)/$B$18</f>
        <v>69.6388267149994</v>
      </c>
    </row>
  </sheetData>
  <mergeCells count="2">
    <mergeCell ref="A1:J1"/>
    <mergeCell ref="A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48"/>
  </cols>
  <sheetData>
    <row r="1" customFormat="false" ht="18" hidden="false" customHeight="true" outlineLevel="0" collapsed="false">
      <c r="A1" s="8" t="s">
        <v>228</v>
      </c>
      <c r="B1" s="8"/>
      <c r="C1" s="8"/>
      <c r="D1" s="8"/>
      <c r="E1" s="8"/>
    </row>
    <row r="2" customFormat="false" ht="15" hidden="false" customHeight="true" outlineLevel="0" collapsed="false"/>
    <row r="3" customFormat="false" ht="18" hidden="false" customHeight="true" outlineLevel="0" collapsed="false">
      <c r="A3" s="2" t="s">
        <v>229</v>
      </c>
      <c r="B3" s="2" t="s">
        <v>230</v>
      </c>
      <c r="C3" s="2" t="s">
        <v>231</v>
      </c>
      <c r="D3" s="2" t="s">
        <v>232</v>
      </c>
      <c r="E3" s="2" t="s">
        <v>233</v>
      </c>
    </row>
    <row r="4" customFormat="false" ht="30" hidden="false" customHeight="true" outlineLevel="0" collapsed="false">
      <c r="A4" s="10" t="s">
        <v>234</v>
      </c>
      <c r="B4" s="25" t="s">
        <v>235</v>
      </c>
      <c r="C4" s="25" t="s">
        <v>236</v>
      </c>
      <c r="D4" s="12" t="s">
        <v>237</v>
      </c>
      <c r="E4" s="25" t="s">
        <v>238</v>
      </c>
    </row>
    <row r="5" customFormat="false" ht="30" hidden="false" customHeight="true" outlineLevel="0" collapsed="false">
      <c r="A5" s="10" t="s">
        <v>234</v>
      </c>
      <c r="B5" s="25" t="s">
        <v>239</v>
      </c>
      <c r="C5" s="25" t="s">
        <v>240</v>
      </c>
      <c r="D5" s="12" t="s">
        <v>237</v>
      </c>
      <c r="E5" s="25" t="s">
        <v>241</v>
      </c>
    </row>
    <row r="6" customFormat="false" ht="30" hidden="false" customHeight="true" outlineLevel="0" collapsed="false">
      <c r="A6" s="10" t="s">
        <v>242</v>
      </c>
      <c r="B6" s="25" t="s">
        <v>239</v>
      </c>
      <c r="C6" s="25" t="s">
        <v>243</v>
      </c>
      <c r="D6" s="12" t="s">
        <v>244</v>
      </c>
      <c r="E6" s="25" t="s">
        <v>245</v>
      </c>
    </row>
    <row r="7" customFormat="false" ht="30" hidden="false" customHeight="true" outlineLevel="0" collapsed="false">
      <c r="A7" s="10" t="s">
        <v>234</v>
      </c>
      <c r="B7" s="25" t="s">
        <v>246</v>
      </c>
      <c r="C7" s="25" t="s">
        <v>247</v>
      </c>
      <c r="D7" s="12" t="s">
        <v>237</v>
      </c>
      <c r="E7" s="25" t="s">
        <v>248</v>
      </c>
    </row>
    <row r="8" customFormat="false" ht="30" hidden="false" customHeight="true" outlineLevel="0" collapsed="false">
      <c r="A8" s="10" t="s">
        <v>234</v>
      </c>
      <c r="B8" s="25" t="s">
        <v>249</v>
      </c>
      <c r="C8" s="25" t="s">
        <v>250</v>
      </c>
      <c r="D8" s="12" t="s">
        <v>237</v>
      </c>
      <c r="E8" s="25" t="s">
        <v>251</v>
      </c>
    </row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48"/>
  </cols>
  <sheetData>
    <row r="1" customFormat="false" ht="18" hidden="false" customHeight="true" outlineLevel="0" collapsed="false">
      <c r="A1" s="8" t="s">
        <v>252</v>
      </c>
      <c r="B1" s="8"/>
      <c r="C1" s="8"/>
      <c r="D1" s="8"/>
      <c r="E1" s="8"/>
    </row>
    <row r="2" customFormat="false" ht="15" hidden="false" customHeight="true" outlineLevel="0" collapsed="false"/>
    <row r="3" customFormat="false" ht="18" hidden="false" customHeight="true" outlineLevel="0" collapsed="false">
      <c r="A3" s="9" t="s">
        <v>253</v>
      </c>
      <c r="B3" s="9" t="s">
        <v>26</v>
      </c>
      <c r="C3" s="9" t="s">
        <v>27</v>
      </c>
      <c r="D3" s="9" t="s">
        <v>28</v>
      </c>
      <c r="E3" s="9" t="s">
        <v>19</v>
      </c>
    </row>
    <row r="4" customFormat="false" ht="30" hidden="false" customHeight="true" outlineLevel="0" collapsed="false">
      <c r="A4" s="22" t="s">
        <v>254</v>
      </c>
      <c r="B4" s="39" t="n">
        <f aca="false">Historical_Financials!B8-7022</f>
        <v>0</v>
      </c>
      <c r="C4" s="39" t="n">
        <f aca="false">Historical_Financials!C8-8406</f>
        <v>0</v>
      </c>
      <c r="D4" s="39" t="n">
        <f aca="false">Historical_Financials!D8-9434</f>
        <v>0</v>
      </c>
      <c r="E4" s="28" t="str">
        <f aca="false">IF(SUM(ABS(B4),ABS(C4),ABS(D4))=0,"PASS","FAIL")</f>
        <v>PASS</v>
      </c>
    </row>
    <row r="5" customFormat="false" ht="30" hidden="false" customHeight="true" outlineLevel="0" collapsed="false">
      <c r="A5" s="22" t="s">
        <v>255</v>
      </c>
      <c r="B5" s="39" t="n">
        <f aca="false">Historical_Financials!B17-2051</f>
        <v>0</v>
      </c>
      <c r="C5" s="39" t="n">
        <f aca="false">Historical_Financials!C17-2419</f>
        <v>0</v>
      </c>
      <c r="D5" s="39" t="n">
        <f aca="false">Historical_Financials!D17-2202</f>
        <v>0</v>
      </c>
      <c r="E5" s="28" t="str">
        <f aca="false">IF(SUM(ABS(B5),ABS(C5),ABS(D5))=0,"PASS","FAIL")</f>
        <v>PASS</v>
      </c>
    </row>
    <row r="6" customFormat="false" ht="30" hidden="false" customHeight="true" outlineLevel="0" collapsed="false">
      <c r="A6" s="22" t="s">
        <v>256</v>
      </c>
      <c r="B6" s="39" t="n">
        <f aca="false">Historical_Financials!B26-1715</f>
        <v>0</v>
      </c>
      <c r="C6" s="39" t="n">
        <f aca="false">Historical_Financials!C26-1442</f>
        <v>0</v>
      </c>
      <c r="D6" s="39" t="n">
        <f aca="false">Historical_Financials!D26-1074</f>
        <v>0</v>
      </c>
      <c r="E6" s="28" t="str">
        <f aca="false">IF(SUM(ABS(B6),ABS(C6),ABS(D6))=0,"PASS","FAIL")</f>
        <v>PASS</v>
      </c>
    </row>
    <row r="7" customFormat="false" ht="30" hidden="false" customHeight="true" outlineLevel="0" collapsed="false">
      <c r="A7" s="22" t="s">
        <v>257</v>
      </c>
      <c r="B7" s="39" t="n">
        <f aca="false">Historical_Financials!B42-Historical_Financials!B61</f>
        <v>0</v>
      </c>
      <c r="C7" s="39" t="n">
        <f aca="false">Historical_Financials!C42-Historical_Financials!C61</f>
        <v>0</v>
      </c>
      <c r="D7" s="39" t="n">
        <f aca="false">Historical_Financials!D42-Historical_Financials!D61</f>
        <v>0</v>
      </c>
      <c r="E7" s="28" t="str">
        <f aca="false">IF(SUM(ABS(B7),ABS(C7),ABS(D7))=0,"PASS","FAIL")</f>
        <v>PASS</v>
      </c>
    </row>
    <row r="8" customFormat="false" ht="30" hidden="false" customHeight="true" outlineLevel="0" collapsed="false">
      <c r="A8" s="22" t="s">
        <v>258</v>
      </c>
      <c r="B8" s="39" t="n">
        <f aca="false">Historical_Financials!B104-1139</f>
        <v>0</v>
      </c>
      <c r="C8" s="39" t="n">
        <f aca="false">Historical_Financials!C104-1334</f>
        <v>0</v>
      </c>
      <c r="D8" s="39" t="n">
        <f aca="false">Historical_Financials!D104-1163</f>
        <v>0</v>
      </c>
      <c r="E8" s="28" t="str">
        <f aca="false">IF(SUM(ABS(B8),ABS(C8),ABS(D8))=0,"PASS","FAIL")</f>
        <v>PASS</v>
      </c>
    </row>
    <row r="9" customFormat="false" ht="45" hidden="false" customHeight="true" outlineLevel="0" collapsed="false">
      <c r="A9" s="22" t="s">
        <v>259</v>
      </c>
      <c r="B9" s="46"/>
      <c r="C9" s="46"/>
      <c r="D9" s="39" t="n">
        <f aca="false">SUM(ABS(Forecast_Model!C17),ABS(Forecast_Model!D17),ABS(Forecast_Model!E17),ABS(Forecast_Model!F17),ABS(Forecast_Model!G17))</f>
        <v>0</v>
      </c>
      <c r="E9" s="28" t="str">
        <f aca="false">IF(D9=0,"PASS","FAIL")</f>
        <v>PASS</v>
      </c>
    </row>
    <row r="10" customFormat="false" ht="30" hidden="false" customHeight="true" outlineLevel="0" collapsed="false">
      <c r="A10" s="22" t="s">
        <v>260</v>
      </c>
      <c r="B10" s="46"/>
      <c r="C10" s="46"/>
      <c r="D10" s="46"/>
      <c r="E10" s="28" t="s">
        <v>261</v>
      </c>
    </row>
    <row r="11" customFormat="false" ht="15" hidden="false" customHeight="true" outlineLevel="0" collapsed="false"/>
    <row r="12" customFormat="false" ht="18" hidden="false" customHeight="true" outlineLevel="0" collapsed="false">
      <c r="A12" s="23" t="s">
        <v>262</v>
      </c>
      <c r="B12" s="23"/>
      <c r="C12" s="23"/>
      <c r="D12" s="23"/>
      <c r="E12" s="23"/>
    </row>
    <row r="13" customFormat="false" ht="15" hidden="false" customHeight="true" outlineLevel="0" collapsed="false">
      <c r="A13" s="23"/>
      <c r="B13" s="23"/>
      <c r="C13" s="23"/>
      <c r="D13" s="23"/>
      <c r="E13" s="23"/>
    </row>
  </sheetData>
  <mergeCells count="2">
    <mergeCell ref="A1:E1"/>
    <mergeCell ref="A12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2026-06-30T19:52:43Z</dcterms:created>
  <dc:creator/>
  <dc:description/>
  <dc:language>en-US</dc:language>
  <cp:lastModifiedBy/>
  <dcterms:modified xsi:type="dcterms:W3CDTF">2026-06-30T19:52:43Z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