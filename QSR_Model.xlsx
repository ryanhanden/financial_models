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7310d763e4d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68ef935d52a4f3b"/>
    <x:sheet xmlns:r="http://schemas.openxmlformats.org/officeDocument/2006/relationships" name="Historical_Financials" sheetId="2" r:id="R3ab969c1670d44d6"/>
    <x:sheet xmlns:r="http://schemas.openxmlformats.org/officeDocument/2006/relationships" name="Segment_Detail" sheetId="3" r:id="R52619f06eee24142"/>
    <x:sheet xmlns:r="http://schemas.openxmlformats.org/officeDocument/2006/relationships" name="Assumptions" sheetId="4" r:id="Rd1218a9b173c4e57"/>
    <x:sheet xmlns:r="http://schemas.openxmlformats.org/officeDocument/2006/relationships" name="Forecast_Model" sheetId="5" r:id="Rd10119c5d3f84ed0"/>
    <x:sheet xmlns:r="http://schemas.openxmlformats.org/officeDocument/2006/relationships" name="DCF" sheetId="6" r:id="R75305c0bd3d340e3"/>
    <x:sheet xmlns:r="http://schemas.openxmlformats.org/officeDocument/2006/relationships" name="Sources" sheetId="7" r:id="R6e5c055f02e846a3"/>
    <x:sheet xmlns:r="http://schemas.openxmlformats.org/officeDocument/2006/relationships" name="QA_Checks" sheetId="8" r:id="R20bb7f082a024d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;[Red](#,##0);-"/>
    <x:numFmt numFmtId="202" formatCode="0.0%;[Red](0.0%);-"/>
    <x:numFmt numFmtId="203" formatCode="$0.00;[Red]($0.00);-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1"/>
      <x:color rgb="FF008000"/>
      <x:name val="Carlito"/>
    </x:font>
    <x:font>
      <x:b/>
      <x:sz val="11"/>
      <x:color rgb="FF000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7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1" fontId="2" fillId="3" borderId="0" xfId="0" applyNumberFormat="1" applyFont="1" applyFill="1" applyBorder="1" applyAlignment="1">
      <x:alignment horizontal="center"/>
    </x:xf>
    <x:xf numFmtId="201" fontId="0" fillId="0" borderId="1" xfId="0" applyNumberFormat="1" applyFont="1" applyFill="1" applyBorder="1"/>
    <x:xf numFmtId="201" fontId="2" fillId="3" borderId="1" xfId="0" applyNumberFormat="1" applyFont="1" applyFill="1" applyBorder="1" applyAlignment="1">
      <x:alignment horizontal="center"/>
    </x:xf>
    <x:xf numFmtId="201" fontId="3" fillId="0" borderId="0" xfId="0" applyNumberFormat="1" applyFont="1" applyFill="1" applyBorder="1"/>
    <x:xf numFmtId="201" fontId="6" fillId="3" borderId="0" xfId="0" applyNumberFormat="1" applyFont="1" applyFill="1" applyBorder="1" applyAlignment="1">
      <x:alignment horizontal="center"/>
    </x:xf>
    <x:xf numFmtId="201" fontId="3" fillId="0" borderId="1" xfId="0" applyNumberFormat="1" applyFont="1" applyFill="1" applyBorder="1"/>
    <x:xf numFmtId="201" fontId="6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1" xfId="0" applyNumberFormat="1" applyFont="1" applyFill="1" applyBorder="1" applyAlignment="1">
      <x:alignment horizontal="center"/>
    </x:xf>
    <x:xf numFmtId="0" fontId="6" fillId="3" borderId="1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201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4" borderId="0" xfId="0" applyNumberFormat="1" applyFont="1" applyFill="1" applyBorder="1"/>
    <x:xf numFmtId="202" fontId="3" fillId="4" borderId="0" xfId="0" applyNumberFormat="1" applyFont="1" applyFill="1" applyBorder="1"/>
    <x:xf numFmtId="202" fontId="0" fillId="4" borderId="1" xfId="0" applyNumberFormat="1" applyFont="1" applyFill="1" applyBorder="1"/>
    <x:xf numFmtId="202" fontId="3" fillId="4" borderId="1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201" fontId="7" fillId="0" borderId="1" xfId="0" applyNumberFormat="1" applyFont="1" applyFill="1" applyBorder="1"/>
    <x:xf numFmtId="202" fontId="7" fillId="0" borderId="1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1" fontId="8" fillId="0" borderId="1" xfId="0" applyNumberFormat="1" applyFont="1" applyFill="1" applyBorder="1"/>
    <x:xf numFmtId="202" fontId="8" fillId="0" borderId="1" xfId="0" applyNumberFormat="1" applyFont="1" applyFill="1" applyBorder="1"/>
    <x:xf numFmtId="201" fontId="9" fillId="0" borderId="0" xfId="0" applyNumberFormat="1" applyFont="1" applyFill="1" applyBorder="1"/>
    <x:xf numFmtId="201" fontId="10" fillId="0" borderId="0" xfId="0" applyNumberFormat="1" applyFont="1" applyFill="1" applyBorder="1"/>
    <x:xf numFmtId="201" fontId="9" fillId="0" borderId="1" xfId="0" applyNumberFormat="1" applyFont="1" applyFill="1" applyBorder="1"/>
    <x:xf numFmtId="201" fontId="1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3" fontId="8" fillId="0" borderId="0" xfId="0" applyNumberFormat="1" applyFont="1" applyFill="1" applyBorder="1"/>
    <x:xf numFmtId="203" fontId="8" fillId="0" borderId="1" xfId="0" applyNumberFormat="1" applyFont="1" applyFill="1" applyBorder="1"/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b8c1c89d6545a5" /><Relationship Type="http://schemas.openxmlformats.org/officeDocument/2006/relationships/theme" Target="/xl/theme/theme1.xml" Id="R43115f0cafc74c1b" /><Relationship Type="http://schemas.openxmlformats.org/officeDocument/2006/relationships/sharedStrings" Target="/xl/sharedStrings.xml" Id="R95daf53d846d4844" /><Relationship Type="http://schemas.openxmlformats.org/officeDocument/2006/relationships/worksheet" Target="/xl/worksheets/sheet1.xml" Id="R268ef935d52a4f3b" /><Relationship Type="http://schemas.openxmlformats.org/officeDocument/2006/relationships/worksheet" Target="/xl/worksheets/sheet2.xml" Id="R3ab969c1670d44d6" /><Relationship Type="http://schemas.openxmlformats.org/officeDocument/2006/relationships/worksheet" Target="/xl/worksheets/sheet3.xml" Id="R52619f06eee24142" /><Relationship Type="http://schemas.openxmlformats.org/officeDocument/2006/relationships/worksheet" Target="/xl/worksheets/sheet4.xml" Id="Rd1218a9b173c4e57" /><Relationship Type="http://schemas.openxmlformats.org/officeDocument/2006/relationships/worksheet" Target="/xl/worksheets/sheet5.xml" Id="Rd10119c5d3f84ed0" /><Relationship Type="http://schemas.openxmlformats.org/officeDocument/2006/relationships/worksheet" Target="/xl/worksheets/sheet6.xml" Id="R75305c0bd3d340e3" /><Relationship Type="http://schemas.openxmlformats.org/officeDocument/2006/relationships/worksheet" Target="/xl/worksheets/sheet7.xml" Id="R6e5c055f02e846a3" /><Relationship Type="http://schemas.openxmlformats.org/officeDocument/2006/relationships/worksheet" Target="/xl/worksheets/sheet8.xml" Id="R20bb7f082a024d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4" t="str">
        <x:v>Restaurant Brands International (QSR) — Banker-Final EDGAR-Tied Model</x:v>
      </x:c>
    </x:row>
    <x:row r="3">
      <x:c r="A3" s="9" t="str">
        <x:v>Company</x:v>
      </x:c>
      <x:c r="B3" s="12" t="str">
        <x:v>Restaurant Brands International Limited Partnership</x:v>
      </x:c>
    </x:row>
    <x:row r="4">
      <x:c r="A4" s="9" t="str">
        <x:v>Ticker</x:v>
      </x:c>
      <x:c r="B4" s="12" t="str">
        <x:v>QSR</x:v>
      </x:c>
    </x:row>
    <x:row r="5">
      <x:c r="A5" s="9" t="str">
        <x:v>Currency / Units</x:v>
      </x:c>
      <x:c r="B5" s="12" t="str">
        <x:v>USD $mm except per-unit data</x:v>
      </x:c>
    </x:row>
    <x:row r="6">
      <x:c r="A6" s="9" t="str">
        <x:v>Historical period</x:v>
      </x:c>
      <x:c r="B6" s="12" t="str">
        <x:v>FY2023A–FY2025A</x:v>
      </x:c>
    </x:row>
    <x:row r="7">
      <x:c r="A7" s="9" t="str">
        <x:v>Forecast period</x:v>
      </x:c>
      <x:c r="B7" s="12" t="str">
        <x:v>FY2026E–FY2030E</x:v>
      </x:c>
    </x:row>
    <x:row r="8">
      <x:c r="A8" s="9" t="str">
        <x:v>Primary source</x:v>
      </x:c>
      <x:c r="B8" s="12" t="str">
        <x:v>EDGAR Form 10-K filed February 20, 2026</x:v>
      </x:c>
    </x:row>
    <x:row r="9">
      <x:c r="A9" s="9" t="str">
        <x:v>Modeling standard</x:v>
      </x:c>
      <x:c r="B9" s="12" t="str">
        <x:v>Historical hardcodes from SEC filings; forecasts are assumptions/formulas</x:v>
      </x:c>
    </x:row>
    <x:row r="10">
      <x:c r="A10" s="9" t="str">
        <x:v>Prepared for</x:v>
      </x:c>
      <x:c r="B10" s="12" t="str">
        <x:v>Ryan Anden Financial Modeling Portfolio</x:v>
      </x:c>
    </x:row>
    <x:row r="11">
      <x:c r="A11" s="9" t="str">
        <x:v>Last updated</x:v>
      </x:c>
      <x:c r="B11" s="14" t="str">
        <x:v>2026-06-24</x:v>
      </x:c>
    </x:row>
    <x:row r="12">
      <x:c r="A12" s="9" t="str">
        <x:v>Status</x:v>
      </x:c>
      <x:c r="B12" s="12" t="str">
        <x:v>QSR model built; source map and QA included</x:v>
      </x:c>
    </x:row>
    <x:row r="14">
      <x:c r="A14" s="18" t="str">
        <x:v>Color Convention: Blue = hardcoded historicals / assumptions; Green = linked from other worksheet; Black = formulas. Yellow fill = key assumption cells.</x:v>
      </x:c>
    </x:row>
    <x:row r="16">
      <x:c r="A16" s="22" t="str">
        <x:v>Investment/Model Thesis</x:v>
      </x:c>
    </x:row>
    <x:row r="17">
      <x:c r="A17" s="24" t="str">
        <x:v>QSR is modeled as a franchisor-heavy quick service restaurant platform with meaningful revenue mix complexity from Tim Hortons supply chain sales, company restaurant sales from Restaurant Holdings, franchise/property revenues, advertising funds, and high leverage. Historical actuals are tied to the FY2025 and FY2024 Form 10-Ks; DCF outputs depend on explicit revenue growth, operating margin, tax, capex, and terminal assumptions.</x:v>
      </x:c>
    </x:row>
  </x:sheetData>
  <x:mergeCells>
    <x:mergeCell ref="A1:H1"/>
    <x:mergeCell ref="A14:H14"/>
    <x:mergeCell ref="A16:H16"/>
    <x:mergeCell ref="A17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26" t="str">
        <x:v>Historical Financials — EDGAR-Tied Actuals ($mm)</x:v>
      </x:c>
    </x:row>
    <x:row r="3">
      <x:c r="A3" s="30" t="str">
        <x:v>Income Statement ($mm)</x:v>
      </x:c>
      <x:c r="B3" s="30" t="str">
        <x:v>2023A</x:v>
      </x:c>
      <x:c r="C3" s="30" t="str">
        <x:v>2024A</x:v>
      </x:c>
      <x:c r="D3" s="30" t="str">
        <x:v>2025A</x:v>
      </x:c>
      <x:c r="E3" s="30" t="str">
        <x:v>Source / Note</x:v>
      </x:c>
    </x:row>
    <x:row r="4">
      <x:c r="A4" s="24" t="str">
        <x:v>Supply chain sales</x:v>
      </x:c>
      <x:c r="B4" s="36" t="n">
        <x:v>2679</x:v>
      </x:c>
      <x:c r="C4" s="36" t="n">
        <x:v>2708</x:v>
      </x:c>
      <x:c r="D4" s="36" t="n">
        <x:v>2909</x:v>
      </x:c>
      <x:c r="E4" s="28" t="str">
        <x:v>FY2025 10-K; Statements of Operations</x:v>
      </x:c>
    </x:row>
    <x:row r="5">
      <x:c r="A5" s="24" t="str">
        <x:v>Company restaurant sales</x:v>
      </x:c>
      <x:c r="B5" s="36" t="n">
        <x:v>271</x:v>
      </x:c>
      <x:c r="C5" s="36" t="n">
        <x:v>1592</x:v>
      </x:c>
      <x:c r="D5" s="36" t="n">
        <x:v>2348</x:v>
      </x:c>
      <x:c r="E5" s="28" t="str">
        <x:v>FY2025 10-K; Statements of Operations</x:v>
      </x:c>
    </x:row>
    <x:row r="6">
      <x:c r="A6" s="24" t="str">
        <x:v>Franchise and property revenues</x:v>
      </x:c>
      <x:c r="B6" s="36" t="n">
        <x:v>2903</x:v>
      </x:c>
      <x:c r="C6" s="36" t="n">
        <x:v>2919</x:v>
      </x:c>
      <x:c r="D6" s="36" t="n">
        <x:v>2960</x:v>
      </x:c>
      <x:c r="E6" s="28" t="str">
        <x:v>FY2025 10-K; Statements of Operations</x:v>
      </x:c>
    </x:row>
    <x:row r="7">
      <x:c r="A7" s="24" t="str">
        <x:v>Advertising revenues and other services</x:v>
      </x:c>
      <x:c r="B7" s="36" t="n">
        <x:v>1169</x:v>
      </x:c>
      <x:c r="C7" s="36" t="n">
        <x:v>1187</x:v>
      </x:c>
      <x:c r="D7" s="36" t="n">
        <x:v>1217</x:v>
      </x:c>
      <x:c r="E7" s="28" t="str">
        <x:v>FY2025 10-K; Statements of Operations</x:v>
      </x:c>
    </x:row>
    <x:row r="8">
      <x:c r="A8" s="46" t="str">
        <x:v>Total revenues</x:v>
      </x:c>
      <x:c r="B8" s="47" t="n">
        <x:v>7022</x:v>
      </x:c>
      <x:c r="C8" s="47" t="n">
        <x:v>8406</x:v>
      </x:c>
      <x:c r="D8" s="47" t="n">
        <x:v>9434</x:v>
      </x:c>
      <x:c r="E8" s="48" t="str">
        <x:v>FY2025 10-K; Statements of Operations</x:v>
      </x:c>
    </x:row>
    <x:row r="9">
      <x:c r="A9" s="24" t="str">
        <x:v>Supply chain cost of sales</x:v>
      </x:c>
      <x:c r="B9" s="36" t="n">
        <x:v>2193</x:v>
      </x:c>
      <x:c r="C9" s="36" t="n">
        <x:v>2180</x:v>
      </x:c>
      <x:c r="D9" s="36" t="n">
        <x:v>2363</x:v>
      </x:c>
      <x:c r="E9" s="28" t="str">
        <x:v>FY2025 10-K; Statements of Operations</x:v>
      </x:c>
    </x:row>
    <x:row r="10">
      <x:c r="A10" s="24" t="str">
        <x:v>Company restaurant expenses</x:v>
      </x:c>
      <x:c r="B10" s="36" t="n">
        <x:v>242</x:v>
      </x:c>
      <x:c r="C10" s="36" t="n">
        <x:v>1328</x:v>
      </x:c>
      <x:c r="D10" s="36" t="n">
        <x:v>1968</x:v>
      </x:c>
      <x:c r="E10" s="28" t="str">
        <x:v>FY2025 10-K; Statements of Operations</x:v>
      </x:c>
    </x:row>
    <x:row r="11">
      <x:c r="A11" s="24" t="str">
        <x:v>Franchise and property expenses</x:v>
      </x:c>
      <x:c r="B11" s="36" t="n">
        <x:v>512</x:v>
      </x:c>
      <x:c r="C11" s="36" t="n">
        <x:v>544</x:v>
      </x:c>
      <x:c r="D11" s="36" t="n">
        <x:v>552</x:v>
      </x:c>
      <x:c r="E11" s="28" t="str">
        <x:v>FY2025 10-K; Statements of Operations</x:v>
      </x:c>
    </x:row>
    <x:row r="12">
      <x:c r="A12" s="24" t="str">
        <x:v>Advertising expenses and other services</x:v>
      </x:c>
      <x:c r="B12" s="36" t="n">
        <x:v>1273</x:v>
      </x:c>
      <x:c r="C12" s="36" t="n">
        <x:v>1330</x:v>
      </x:c>
      <x:c r="D12" s="36" t="n">
        <x:v>1358</x:v>
      </x:c>
      <x:c r="E12" s="28" t="str">
        <x:v>FY2025 10-K; Statements of Operations</x:v>
      </x:c>
    </x:row>
    <x:row r="13">
      <x:c r="A13" s="24" t="str">
        <x:v>General and administrative expenses</x:v>
      </x:c>
      <x:c r="B13" s="36" t="n">
        <x:v>704</x:v>
      </x:c>
      <x:c r="C13" s="36" t="n">
        <x:v>733</x:v>
      </x:c>
      <x:c r="D13" s="36" t="n">
        <x:v>741</x:v>
      </x:c>
      <x:c r="E13" s="28" t="str">
        <x:v>FY2025 10-K; Statements of Operations</x:v>
      </x:c>
    </x:row>
    <x:row r="14">
      <x:c r="A14" s="24" t="str">
        <x:v>(Income) loss from equity method investments</x:v>
      </x:c>
      <x:c r="B14" s="36" t="n">
        <x:v>-8</x:v>
      </x:c>
      <x:c r="C14" s="36" t="n">
        <x:v>-69</x:v>
      </x:c>
      <x:c r="D14" s="36" t="n">
        <x:v>-11</x:v>
      </x:c>
      <x:c r="E14" s="28" t="str">
        <x:v>FY2025 10-K; Statements of Operations</x:v>
      </x:c>
    </x:row>
    <x:row r="15">
      <x:c r="A15" s="24" t="str">
        <x:v>Other operating expenses (income), net</x:v>
      </x:c>
      <x:c r="B15" s="36" t="n">
        <x:v>55</x:v>
      </x:c>
      <x:c r="C15" s="36" t="n">
        <x:v>-59</x:v>
      </x:c>
      <x:c r="D15" s="36" t="n">
        <x:v>261</x:v>
      </x:c>
      <x:c r="E15" s="28" t="str">
        <x:v>FY2025 10-K; Statements of Operations</x:v>
      </x:c>
    </x:row>
    <x:row r="16">
      <x:c r="A16" s="46" t="str">
        <x:v>Total operating costs and expenses</x:v>
      </x:c>
      <x:c r="B16" s="47" t="n">
        <x:v>4971</x:v>
      </x:c>
      <x:c r="C16" s="47" t="n">
        <x:v>5987</x:v>
      </x:c>
      <x:c r="D16" s="47" t="n">
        <x:v>7232</x:v>
      </x:c>
      <x:c r="E16" s="48" t="str">
        <x:v>FY2025 10-K; Statements of Operations</x:v>
      </x:c>
    </x:row>
    <x:row r="17">
      <x:c r="A17" s="46" t="str">
        <x:v>Income from operations</x:v>
      </x:c>
      <x:c r="B17" s="47" t="n">
        <x:v>2051</x:v>
      </x:c>
      <x:c r="C17" s="47" t="n">
        <x:v>2419</x:v>
      </x:c>
      <x:c r="D17" s="47" t="n">
        <x:v>2202</x:v>
      </x:c>
      <x:c r="E17" s="48" t="str">
        <x:v>FY2025 10-K; Statements of Operations</x:v>
      </x:c>
    </x:row>
    <x:row r="18">
      <x:c r="A18" s="24" t="str">
        <x:v>Interest expense, net</x:v>
      </x:c>
      <x:c r="B18" s="36" t="n">
        <x:v>582</x:v>
      </x:c>
      <x:c r="C18" s="36" t="n">
        <x:v>577</x:v>
      </x:c>
      <x:c r="D18" s="36" t="n">
        <x:v>516</x:v>
      </x:c>
      <x:c r="E18" s="28" t="str">
        <x:v>FY2025 10-K; Statements of Operations</x:v>
      </x:c>
    </x:row>
    <x:row r="19">
      <x:c r="A19" s="24" t="str">
        <x:v>Loss on early extinguishment of debt</x:v>
      </x:c>
      <x:c r="B19" s="36" t="n">
        <x:v>16</x:v>
      </x:c>
      <x:c r="C19" s="36" t="n">
        <x:v>33</x:v>
      </x:c>
      <x:c r="D19" s="36" t="n">
        <x:v>2</x:v>
      </x:c>
      <x:c r="E19" s="28" t="str">
        <x:v>FY2025 10-K; Statements of Operations</x:v>
      </x:c>
    </x:row>
    <x:row r="20">
      <x:c r="A20" s="46" t="str">
        <x:v>Income from continuing operations before income taxes</x:v>
      </x:c>
      <x:c r="B20" s="47" t="n">
        <x:v>1453</x:v>
      </x:c>
      <x:c r="C20" s="47" t="n">
        <x:v>1809</x:v>
      </x:c>
      <x:c r="D20" s="47" t="n">
        <x:v>1684</x:v>
      </x:c>
      <x:c r="E20" s="48" t="str">
        <x:v>FY2025 10-K; Statements of Operations</x:v>
      </x:c>
    </x:row>
    <x:row r="21">
      <x:c r="A21" s="24" t="str">
        <x:v>Income tax expense (benefit) from continuing operations</x:v>
      </x:c>
      <x:c r="B21" s="36" t="n">
        <x:v>-265</x:v>
      </x:c>
      <x:c r="C21" s="36" t="n">
        <x:v>364</x:v>
      </x:c>
      <x:c r="D21" s="36" t="n">
        <x:v>483</x:v>
      </x:c>
      <x:c r="E21" s="28" t="str">
        <x:v>FY2025 10-K; Statements of Operations</x:v>
      </x:c>
    </x:row>
    <x:row r="22">
      <x:c r="A22" s="46" t="str">
        <x:v>Net income from continuing operations</x:v>
      </x:c>
      <x:c r="B22" s="47" t="n">
        <x:v>1718</x:v>
      </x:c>
      <x:c r="C22" s="47" t="n">
        <x:v>1445</x:v>
      </x:c>
      <x:c r="D22" s="47" t="n">
        <x:v>1201</x:v>
      </x:c>
      <x:c r="E22" s="48" t="str">
        <x:v>FY2025 10-K; Statements of Operations</x:v>
      </x:c>
    </x:row>
    <x:row r="23">
      <x:c r="A23" s="24" t="str">
        <x:v>Net loss from discontinued operations</x:v>
      </x:c>
      <x:c r="B23" s="36" t="n">
        <x:v>0</x:v>
      </x:c>
      <x:c r="C23" s="36" t="n">
        <x:v>0</x:v>
      </x:c>
      <x:c r="D23" s="36" t="n">
        <x:v>126</x:v>
      </x:c>
      <x:c r="E23" s="28" t="str">
        <x:v>FY2025 10-K; Statements of Operations</x:v>
      </x:c>
    </x:row>
    <x:row r="24">
      <x:c r="A24" s="46" t="str">
        <x:v>Net income</x:v>
      </x:c>
      <x:c r="B24" s="47" t="n">
        <x:v>1718</x:v>
      </x:c>
      <x:c r="C24" s="47" t="n">
        <x:v>1445</x:v>
      </x:c>
      <x:c r="D24" s="47" t="n">
        <x:v>1075</x:v>
      </x:c>
      <x:c r="E24" s="48" t="str">
        <x:v>FY2025 10-K; Statements of Operations</x:v>
      </x:c>
    </x:row>
    <x:row r="25">
      <x:c r="A25" s="24" t="str">
        <x:v>Net income attributable to noncontrolling interests</x:v>
      </x:c>
      <x:c r="B25" s="36" t="n">
        <x:v>3</x:v>
      </x:c>
      <x:c r="C25" s="36" t="n">
        <x:v>3</x:v>
      </x:c>
      <x:c r="D25" s="36" t="n">
        <x:v>1</x:v>
      </x:c>
      <x:c r="E25" s="28" t="str">
        <x:v>FY2025 10-K; Statements of Operations</x:v>
      </x:c>
    </x:row>
    <x:row r="26">
      <x:c r="A26" s="24" t="str">
        <x:v>Net income attributable to common unitholders</x:v>
      </x:c>
      <x:c r="B26" s="36" t="n">
        <x:v>1715</x:v>
      </x:c>
      <x:c r="C26" s="36" t="n">
        <x:v>1442</x:v>
      </x:c>
      <x:c r="D26" s="36" t="n">
        <x:v>1074</x:v>
      </x:c>
      <x:c r="E26" s="28" t="str">
        <x:v>FY2025 10-K; Statements of Operations</x:v>
      </x:c>
    </x:row>
    <x:row r="27">
      <x:c r="A27" s="24" t="str">
        <x:v>Weighted average Class A common units</x:v>
      </x:c>
      <x:c r="B27" s="36" t="n">
        <x:v>202</x:v>
      </x:c>
      <x:c r="C27" s="36" t="n">
        <x:v>204</x:v>
      </x:c>
      <x:c r="D27" s="36" t="n">
        <x:v>210</x:v>
      </x:c>
      <x:c r="E27" s="28" t="str">
        <x:v>FY2025 10-K; Statements of Operations</x:v>
      </x:c>
    </x:row>
    <x:row r="28">
      <x:c r="A28" s="24" t="str">
        <x:v>Weighted average Partnership exchangeable units</x:v>
      </x:c>
      <x:c r="B28" s="36" t="n">
        <x:v>139</x:v>
      </x:c>
      <x:c r="C28" s="36" t="n">
        <x:v>131</x:v>
      </x:c>
      <x:c r="D28" s="36" t="n">
        <x:v>126</x:v>
      </x:c>
      <x:c r="E28" s="28" t="str">
        <x:v>FY2025 10-K; Statements of Operations</x:v>
      </x:c>
    </x:row>
    <x:row r="29">
      <x:c r="A29" s="24"/>
      <x:c r="B29" s="36"/>
      <x:c r="C29" s="36"/>
      <x:c r="D29" s="36"/>
      <x:c r="E29" s="28"/>
    </x:row>
    <x:row r="30">
      <x:c r="A30" s="40" t="str">
        <x:v>Balance Sheet ($mm)</x:v>
      </x:c>
      <x:c r="B30" s="37" t="str">
        <x:v>2023A</x:v>
      </x:c>
      <x:c r="C30" s="37" t="str">
        <x:v>2024A</x:v>
      </x:c>
      <x:c r="D30" s="37" t="str">
        <x:v>2025A</x:v>
      </x:c>
      <x:c r="E30" s="43" t="str">
        <x:v>Source / Note</x:v>
      </x:c>
    </x:row>
    <x:row r="31">
      <x:c r="A31" s="24" t="str">
        <x:v>Cash and cash equivalents</x:v>
      </x:c>
      <x:c r="B31" s="36" t="n">
        <x:v>1139</x:v>
      </x:c>
      <x:c r="C31" s="36" t="n">
        <x:v>1334</x:v>
      </x:c>
      <x:c r="D31" s="36" t="n">
        <x:v>1163</x:v>
      </x:c>
      <x:c r="E31" s="28" t="str">
        <x:v>FY2025 10-K for 2024A/2025A; FY2024 10-K for 2023A</x:v>
      </x:c>
    </x:row>
    <x:row r="32">
      <x:c r="A32" s="24" t="str">
        <x:v>Accounts and notes receivable, net</x:v>
      </x:c>
      <x:c r="B32" s="36" t="n">
        <x:v>749</x:v>
      </x:c>
      <x:c r="C32" s="36" t="n">
        <x:v>698</x:v>
      </x:c>
      <x:c r="D32" s="36" t="n">
        <x:v>794</x:v>
      </x:c>
      <x:c r="E32" s="28" t="str">
        <x:v>FY2025 10-K for 2024A/2025A; FY2024 10-K for 2023A</x:v>
      </x:c>
    </x:row>
    <x:row r="33">
      <x:c r="A33" s="24" t="str">
        <x:v>Inventories, net</x:v>
      </x:c>
      <x:c r="B33" s="36" t="n">
        <x:v>166</x:v>
      </x:c>
      <x:c r="C33" s="36" t="n">
        <x:v>142</x:v>
      </x:c>
      <x:c r="D33" s="36" t="n">
        <x:v>205</x:v>
      </x:c>
      <x:c r="E33" s="28" t="str">
        <x:v>FY2025 10-K for 2024A/2025A; FY2024 10-K for 2023A</x:v>
      </x:c>
    </x:row>
    <x:row r="34">
      <x:c r="A34" s="24" t="str">
        <x:v>Prepaids and other current assets</x:v>
      </x:c>
      <x:c r="B34" s="36" t="n">
        <x:v>119</x:v>
      </x:c>
      <x:c r="C34" s="36" t="n">
        <x:v>108</x:v>
      </x:c>
      <x:c r="D34" s="36" t="n">
        <x:v>179</x:v>
      </x:c>
      <x:c r="E34" s="28" t="str">
        <x:v>FY2025 10-K for 2024A/2025A; FY2024 10-K for 2023A</x:v>
      </x:c>
    </x:row>
    <x:row r="35">
      <x:c r="A35" s="24" t="str">
        <x:v>Assets held for sale - discontinued operations</x:v>
      </x:c>
      <x:c r="B35" s="36" t="n">
        <x:v>0</x:v>
      </x:c>
      <x:c r="C35" s="36" t="n">
        <x:v>0</x:v>
      </x:c>
      <x:c r="D35" s="36" t="n">
        <x:v>489</x:v>
      </x:c>
      <x:c r="E35" s="28" t="str">
        <x:v>FY2025 10-K for 2024A/2025A; FY2024 10-K for 2023A</x:v>
      </x:c>
    </x:row>
    <x:row r="36">
      <x:c r="A36" s="46" t="str">
        <x:v>Total current assets</x:v>
      </x:c>
      <x:c r="B36" s="47" t="n">
        <x:v>2173</x:v>
      </x:c>
      <x:c r="C36" s="47" t="n">
        <x:v>2282</x:v>
      </x:c>
      <x:c r="D36" s="47" t="n">
        <x:v>2830</x:v>
      </x:c>
      <x:c r="E36" s="48" t="str">
        <x:v>FY2025 10-K for 2024A/2025A; FY2024 10-K for 2023A</x:v>
      </x:c>
    </x:row>
    <x:row r="37">
      <x:c r="A37" s="24" t="str">
        <x:v>Property and equipment, net</x:v>
      </x:c>
      <x:c r="B37" s="36" t="n">
        <x:v>1952</x:v>
      </x:c>
      <x:c r="C37" s="36" t="n">
        <x:v>2236</x:v>
      </x:c>
      <x:c r="D37" s="36" t="n">
        <x:v>2303</x:v>
      </x:c>
      <x:c r="E37" s="28" t="str">
        <x:v>FY2025 10-K for 2024A/2025A; FY2024 10-K for 2023A</x:v>
      </x:c>
    </x:row>
    <x:row r="38">
      <x:c r="A38" s="24" t="str">
        <x:v>Operating lease assets, net</x:v>
      </x:c>
      <x:c r="B38" s="36" t="n">
        <x:v>1122</x:v>
      </x:c>
      <x:c r="C38" s="36" t="n">
        <x:v>1852</x:v>
      </x:c>
      <x:c r="D38" s="36" t="n">
        <x:v>1961</x:v>
      </x:c>
      <x:c r="E38" s="28" t="str">
        <x:v>FY2025 10-K for 2024A/2025A; FY2024 10-K for 2023A</x:v>
      </x:c>
    </x:row>
    <x:row r="39">
      <x:c r="A39" s="24" t="str">
        <x:v>Intangible assets, net</x:v>
      </x:c>
      <x:c r="B39" s="36" t="n">
        <x:v>11107</x:v>
      </x:c>
      <x:c r="C39" s="36" t="n">
        <x:v>10922</x:v>
      </x:c>
      <x:c r="D39" s="36" t="n">
        <x:v>11190</x:v>
      </x:c>
      <x:c r="E39" s="28" t="str">
        <x:v>FY2025 10-K for 2024A/2025A; FY2024 10-K for 2023A</x:v>
      </x:c>
    </x:row>
    <x:row r="40">
      <x:c r="A40" s="24" t="str">
        <x:v>Goodwill</x:v>
      </x:c>
      <x:c r="B40" s="36" t="n">
        <x:v>5775</x:v>
      </x:c>
      <x:c r="C40" s="36" t="n">
        <x:v>5986</x:v>
      </x:c>
      <x:c r="D40" s="36" t="n">
        <x:v>6306</x:v>
      </x:c>
      <x:c r="E40" s="28" t="str">
        <x:v>FY2025 10-K for 2024A/2025A; FY2024 10-K for 2023A</x:v>
      </x:c>
    </x:row>
    <x:row r="41">
      <x:c r="A41" s="24" t="str">
        <x:v>Other assets, net</x:v>
      </x:c>
      <x:c r="B41" s="36" t="n">
        <x:v>1262</x:v>
      </x:c>
      <x:c r="C41" s="36" t="n">
        <x:v>1354</x:v>
      </x:c>
      <x:c r="D41" s="36" t="n">
        <x:v>1025</x:v>
      </x:c>
      <x:c r="E41" s="28" t="str">
        <x:v>FY2025 10-K for 2024A/2025A; FY2024 10-K for 2023A</x:v>
      </x:c>
    </x:row>
    <x:row r="42">
      <x:c r="A42" s="46" t="str">
        <x:v>Total assets</x:v>
      </x:c>
      <x:c r="B42" s="47" t="n">
        <x:v>23391</x:v>
      </x:c>
      <x:c r="C42" s="47" t="n">
        <x:v>24632</x:v>
      </x:c>
      <x:c r="D42" s="47" t="n">
        <x:v>25615</x:v>
      </x:c>
      <x:c r="E42" s="48" t="str">
        <x:v>FY2025 10-K for 2024A/2025A; FY2024 10-K for 2023A</x:v>
      </x:c>
    </x:row>
    <x:row r="43">
      <x:c r="A43" s="24" t="str">
        <x:v>Accounts and drafts payable</x:v>
      </x:c>
      <x:c r="B43" s="36" t="n">
        <x:v>790</x:v>
      </x:c>
      <x:c r="C43" s="36" t="n">
        <x:v>765</x:v>
      </x:c>
      <x:c r="D43" s="36" t="n">
        <x:v>866</x:v>
      </x:c>
      <x:c r="E43" s="28" t="str">
        <x:v>FY2025 10-K for 2024A/2025A; FY2024 10-K for 2023A</x:v>
      </x:c>
    </x:row>
    <x:row r="44">
      <x:c r="A44" s="24" t="str">
        <x:v>Other accrued liabilities</x:v>
      </x:c>
      <x:c r="B44" s="36" t="n">
        <x:v>1005</x:v>
      </x:c>
      <x:c r="C44" s="36" t="n">
        <x:v>1141</x:v>
      </x:c>
      <x:c r="D44" s="36" t="n">
        <x:v>1271</x:v>
      </x:c>
      <x:c r="E44" s="28" t="str">
        <x:v>FY2025 10-K for 2024A/2025A; FY2024 10-K for 2023A</x:v>
      </x:c>
    </x:row>
    <x:row r="45">
      <x:c r="A45" s="24" t="str">
        <x:v>Gift card liability</x:v>
      </x:c>
      <x:c r="B45" s="36" t="n">
        <x:v>248</x:v>
      </x:c>
      <x:c r="C45" s="36" t="n">
        <x:v>236</x:v>
      </x:c>
      <x:c r="D45" s="36" t="n">
        <x:v>249</x:v>
      </x:c>
      <x:c r="E45" s="28" t="str">
        <x:v>FY2025 10-K for 2024A/2025A; FY2024 10-K for 2023A</x:v>
      </x:c>
    </x:row>
    <x:row r="46">
      <x:c r="A46" s="24" t="str">
        <x:v>Current portion of long-term debt and finance leases</x:v>
      </x:c>
      <x:c r="B46" s="36" t="n">
        <x:v>101</x:v>
      </x:c>
      <x:c r="C46" s="36" t="n">
        <x:v>222</x:v>
      </x:c>
      <x:c r="D46" s="36" t="n">
        <x:v>68</x:v>
      </x:c>
      <x:c r="E46" s="28" t="str">
        <x:v>FY2025 10-K for 2024A/2025A; FY2024 10-K for 2023A</x:v>
      </x:c>
    </x:row>
    <x:row r="47">
      <x:c r="A47" s="24" t="str">
        <x:v>Liabilities held for sale - discontinued operations</x:v>
      </x:c>
      <x:c r="B47" s="36" t="n">
        <x:v>0</x:v>
      </x:c>
      <x:c r="C47" s="36" t="n">
        <x:v>0</x:v>
      </x:c>
      <x:c r="D47" s="36" t="n">
        <x:v>437</x:v>
      </x:c>
      <x:c r="E47" s="28" t="str">
        <x:v>FY2025 10-K for 2024A/2025A; FY2024 10-K for 2023A</x:v>
      </x:c>
    </x:row>
    <x:row r="48">
      <x:c r="A48" s="46" t="str">
        <x:v>Total current liabilities</x:v>
      </x:c>
      <x:c r="B48" s="47" t="n">
        <x:v>2144</x:v>
      </x:c>
      <x:c r="C48" s="47" t="n">
        <x:v>2364</x:v>
      </x:c>
      <x:c r="D48" s="47" t="n">
        <x:v>2891</x:v>
      </x:c>
      <x:c r="E48" s="48" t="str">
        <x:v>FY2025 10-K for 2024A/2025A; FY2024 10-K for 2023A</x:v>
      </x:c>
    </x:row>
    <x:row r="49">
      <x:c r="A49" s="24" t="str">
        <x:v>Long-term debt, net of current portion</x:v>
      </x:c>
      <x:c r="B49" s="36" t="n">
        <x:v>12854</x:v>
      </x:c>
      <x:c r="C49" s="36" t="n">
        <x:v>13455</x:v>
      </x:c>
      <x:c r="D49" s="36" t="n">
        <x:v>13250</x:v>
      </x:c>
      <x:c r="E49" s="28" t="str">
        <x:v>FY2025 10-K for 2024A/2025A; FY2024 10-K for 2023A</x:v>
      </x:c>
    </x:row>
    <x:row r="50">
      <x:c r="A50" s="24" t="str">
        <x:v>Finance leases, net of current portion</x:v>
      </x:c>
      <x:c r="B50" s="36" t="n">
        <x:v>312</x:v>
      </x:c>
      <x:c r="C50" s="36" t="n">
        <x:v>286</x:v>
      </x:c>
      <x:c r="D50" s="36" t="n">
        <x:v>261</x:v>
      </x:c>
      <x:c r="E50" s="28" t="str">
        <x:v>FY2025 10-K for 2024A/2025A; FY2024 10-K for 2023A</x:v>
      </x:c>
    </x:row>
    <x:row r="51">
      <x:c r="A51" s="24" t="str">
        <x:v>Operating lease liabilities, net of current portion</x:v>
      </x:c>
      <x:c r="B51" s="36" t="n">
        <x:v>1059</x:v>
      </x:c>
      <x:c r="C51" s="36" t="n">
        <x:v>1770</x:v>
      </x:c>
      <x:c r="D51" s="36" t="n">
        <x:v>1900</x:v>
      </x:c>
      <x:c r="E51" s="28" t="str">
        <x:v>FY2025 10-K for 2024A/2025A; FY2024 10-K for 2023A</x:v>
      </x:c>
    </x:row>
    <x:row r="52">
      <x:c r="A52" s="24" t="str">
        <x:v>Other liabilities, net</x:v>
      </x:c>
      <x:c r="B52" s="36" t="n">
        <x:v>996</x:v>
      </x:c>
      <x:c r="C52" s="36" t="n">
        <x:v>706</x:v>
      </x:c>
      <x:c r="D52" s="36" t="n">
        <x:v>1034</x:v>
      </x:c>
      <x:c r="E52" s="28" t="str">
        <x:v>FY2025 10-K for 2024A/2025A; FY2024 10-K for 2023A</x:v>
      </x:c>
    </x:row>
    <x:row r="53">
      <x:c r="A53" s="24" t="str">
        <x:v>Deferred income taxes, net</x:v>
      </x:c>
      <x:c r="B53" s="36" t="n">
        <x:v>1296</x:v>
      </x:c>
      <x:c r="C53" s="36" t="n">
        <x:v>1208</x:v>
      </x:c>
      <x:c r="D53" s="36" t="n">
        <x:v>1120</x:v>
      </x:c>
      <x:c r="E53" s="28" t="str">
        <x:v>FY2025 10-K for 2024A/2025A; FY2024 10-K for 2023A</x:v>
      </x:c>
    </x:row>
    <x:row r="54">
      <x:c r="A54" s="46" t="str">
        <x:v>Total liabilities</x:v>
      </x:c>
      <x:c r="B54" s="47" t="n">
        <x:v>18661</x:v>
      </x:c>
      <x:c r="C54" s="47" t="n">
        <x:v>19789</x:v>
      </x:c>
      <x:c r="D54" s="47" t="n">
        <x:v>20456</x:v>
      </x:c>
      <x:c r="E54" s="48" t="str">
        <x:v>FY2025 10-K for 2024A/2025A; FY2024 10-K for 2023A</x:v>
      </x:c>
    </x:row>
    <x:row r="55">
      <x:c r="A55" s="24" t="str">
        <x:v>Class A common units</x:v>
      </x:c>
      <x:c r="B55" s="36" t="n">
        <x:v>9620</x:v>
      </x:c>
      <x:c r="C55" s="36" t="n">
        <x:v>10607</x:v>
      </x:c>
      <x:c r="D55" s="36" t="n">
        <x:v>12006</x:v>
      </x:c>
      <x:c r="E55" s="28" t="str">
        <x:v>FY2025 10-K for 2024A/2025A; FY2024 10-K for 2023A</x:v>
      </x:c>
    </x:row>
    <x:row r="56">
      <x:c r="A56" s="24" t="str">
        <x:v>Partnership exchangeable units</x:v>
      </x:c>
      <x:c r="B56" s="36" t="n">
        <x:v>-3907</x:v>
      </x:c>
      <x:c r="C56" s="36" t="n">
        <x:v>-4241</x:v>
      </x:c>
      <x:c r="D56" s="36" t="n">
        <x:v>-5515</x:v>
      </x:c>
      <x:c r="E56" s="28" t="str">
        <x:v>FY2025 10-K for 2024A/2025A; FY2024 10-K for 2023A</x:v>
      </x:c>
    </x:row>
    <x:row r="57">
      <x:c r="A57" s="24" t="str">
        <x:v>Accumulated other comprehensive income (loss)</x:v>
      </x:c>
      <x:c r="B57" s="36" t="n">
        <x:v>-985</x:v>
      </x:c>
      <x:c r="C57" s="36" t="n">
        <x:v>-1525</x:v>
      </x:c>
      <x:c r="D57" s="36" t="n">
        <x:v>-1334</x:v>
      </x:c>
      <x:c r="E57" s="28" t="str">
        <x:v>FY2025 10-K for 2024A/2025A; FY2024 10-K for 2023A</x:v>
      </x:c>
    </x:row>
    <x:row r="58">
      <x:c r="A58" s="24" t="str">
        <x:v>Total Partners’ capital</x:v>
      </x:c>
      <x:c r="B58" s="36" t="n">
        <x:v>4728</x:v>
      </x:c>
      <x:c r="C58" s="36" t="n">
        <x:v>4841</x:v>
      </x:c>
      <x:c r="D58" s="36" t="n">
        <x:v>5157</x:v>
      </x:c>
      <x:c r="E58" s="28" t="str">
        <x:v>FY2025 10-K for 2024A/2025A; FY2024 10-K for 2023A</x:v>
      </x:c>
    </x:row>
    <x:row r="59">
      <x:c r="A59" s="24" t="str">
        <x:v>Noncontrolling interests</x:v>
      </x:c>
      <x:c r="B59" s="36" t="n">
        <x:v>2</x:v>
      </x:c>
      <x:c r="C59" s="36" t="n">
        <x:v>2</x:v>
      </x:c>
      <x:c r="D59" s="36" t="n">
        <x:v>2</x:v>
      </x:c>
      <x:c r="E59" s="28" t="str">
        <x:v>FY2025 10-K for 2024A/2025A; FY2024 10-K for 2023A</x:v>
      </x:c>
    </x:row>
    <x:row r="60">
      <x:c r="A60" s="46" t="str">
        <x:v>Total equity</x:v>
      </x:c>
      <x:c r="B60" s="47" t="n">
        <x:v>4730</x:v>
      </x:c>
      <x:c r="C60" s="47" t="n">
        <x:v>4843</x:v>
      </x:c>
      <x:c r="D60" s="47" t="n">
        <x:v>5159</x:v>
      </x:c>
      <x:c r="E60" s="48" t="str">
        <x:v>FY2025 10-K for 2024A/2025A; FY2024 10-K for 2023A</x:v>
      </x:c>
    </x:row>
    <x:row r="61">
      <x:c r="A61" s="46" t="str">
        <x:v>Total liabilities and equity</x:v>
      </x:c>
      <x:c r="B61" s="47" t="n">
        <x:v>23391</x:v>
      </x:c>
      <x:c r="C61" s="47" t="n">
        <x:v>24632</x:v>
      </x:c>
      <x:c r="D61" s="47" t="n">
        <x:v>25615</x:v>
      </x:c>
      <x:c r="E61" s="48" t="str">
        <x:v>FY2025 10-K for 2024A/2025A; FY2024 10-K for 2023A</x:v>
      </x:c>
    </x:row>
    <x:row r="62">
      <x:c r="A62" s="24"/>
      <x:c r="B62" s="36"/>
      <x:c r="C62" s="36"/>
      <x:c r="D62" s="36"/>
      <x:c r="E62" s="28"/>
    </x:row>
    <x:row r="63">
      <x:c r="A63" s="24"/>
      <x:c r="B63" s="36"/>
      <x:c r="C63" s="36"/>
      <x:c r="D63" s="36"/>
      <x:c r="E63" s="28"/>
    </x:row>
    <x:row r="64">
      <x:c r="A64" s="24"/>
      <x:c r="B64" s="36"/>
      <x:c r="C64" s="36"/>
      <x:c r="D64" s="36"/>
      <x:c r="E64" s="28"/>
    </x:row>
    <x:row r="65">
      <x:c r="A65" s="40" t="str">
        <x:v>Cash Flow Statement ($mm)</x:v>
      </x:c>
      <x:c r="B65" s="37" t="str">
        <x:v>2023A</x:v>
      </x:c>
      <x:c r="C65" s="37" t="str">
        <x:v>2024A</x:v>
      </x:c>
      <x:c r="D65" s="37" t="str">
        <x:v>2025A</x:v>
      </x:c>
      <x:c r="E65" s="43" t="str">
        <x:v>Source / Note</x:v>
      </x:c>
    </x:row>
    <x:row r="66">
      <x:c r="A66" s="24" t="str">
        <x:v>Net income</x:v>
      </x:c>
      <x:c r="B66" s="36" t="n">
        <x:v>1718</x:v>
      </x:c>
      <x:c r="C66" s="36" t="n">
        <x:v>1445</x:v>
      </x:c>
      <x:c r="D66" s="36" t="n">
        <x:v>1075</x:v>
      </x:c>
      <x:c r="E66" s="28" t="str">
        <x:v>FY2025 10-K; Statements of Cash Flows</x:v>
      </x:c>
    </x:row>
    <x:row r="67">
      <x:c r="A67" s="24" t="str">
        <x:v>Net loss from discontinued operations</x:v>
      </x:c>
      <x:c r="B67" s="36" t="n">
        <x:v>0</x:v>
      </x:c>
      <x:c r="C67" s="36" t="n">
        <x:v>0</x:v>
      </x:c>
      <x:c r="D67" s="36" t="n">
        <x:v>126</x:v>
      </x:c>
      <x:c r="E67" s="28" t="str">
        <x:v>FY2025 10-K; Statements of Cash Flows</x:v>
      </x:c>
    </x:row>
    <x:row r="68">
      <x:c r="A68" s="24" t="str">
        <x:v>Net income from continuing operations</x:v>
      </x:c>
      <x:c r="B68" s="36" t="n">
        <x:v>1718</x:v>
      </x:c>
      <x:c r="C68" s="36" t="n">
        <x:v>1445</x:v>
      </x:c>
      <x:c r="D68" s="36" t="n">
        <x:v>1201</x:v>
      </x:c>
      <x:c r="E68" s="28" t="str">
        <x:v>FY2025 10-K; Statements of Cash Flows</x:v>
      </x:c>
    </x:row>
    <x:row r="69">
      <x:c r="A69" s="24" t="str">
        <x:v>Depreciation and amortization</x:v>
      </x:c>
      <x:c r="B69" s="36" t="n">
        <x:v>191</x:v>
      </x:c>
      <x:c r="C69" s="36" t="n">
        <x:v>264</x:v>
      </x:c>
      <x:c r="D69" s="36" t="n">
        <x:v>301</x:v>
      </x:c>
      <x:c r="E69" s="28" t="str">
        <x:v>FY2025 10-K; Statements of Cash Flows</x:v>
      </x:c>
    </x:row>
    <x:row r="70">
      <x:c r="A70" s="24" t="str">
        <x:v>Non-cash loss on early extinguishment of debt</x:v>
      </x:c>
      <x:c r="B70" s="36" t="n">
        <x:v>5</x:v>
      </x:c>
      <x:c r="C70" s="36" t="n">
        <x:v>23</x:v>
      </x:c>
      <x:c r="D70" s="36" t="n">
        <x:v>2</x:v>
      </x:c>
      <x:c r="E70" s="28" t="str">
        <x:v>FY2025 10-K; Statements of Cash Flows</x:v>
      </x:c>
    </x:row>
    <x:row r="71">
      <x:c r="A71" s="24" t="str">
        <x:v>Amortization of deferred financing costs and debt issuance discount</x:v>
      </x:c>
      <x:c r="B71" s="36" t="n">
        <x:v>27</x:v>
      </x:c>
      <x:c r="C71" s="36" t="n">
        <x:v>25</x:v>
      </x:c>
      <x:c r="D71" s="36" t="n">
        <x:v>25</x:v>
      </x:c>
      <x:c r="E71" s="28" t="str">
        <x:v>FY2025 10-K; Statements of Cash Flows</x:v>
      </x:c>
    </x:row>
    <x:row r="72">
      <x:c r="A72" s="24" t="str">
        <x:v>(Income) loss from equity method investments</x:v>
      </x:c>
      <x:c r="B72" s="36" t="n">
        <x:v>-8</x:v>
      </x:c>
      <x:c r="C72" s="36" t="n">
        <x:v>-69</x:v>
      </x:c>
      <x:c r="D72" s="36" t="n">
        <x:v>-11</x:v>
      </x:c>
      <x:c r="E72" s="28" t="str">
        <x:v>FY2025 10-K; Statements of Cash Flows</x:v>
      </x:c>
    </x:row>
    <x:row r="73">
      <x:c r="A73" s="24" t="str">
        <x:v>Loss (gain) on remeasurement of foreign denominated transactions</x:v>
      </x:c>
      <x:c r="B73" s="36" t="n">
        <x:v>20</x:v>
      </x:c>
      <x:c r="C73" s="36" t="n">
        <x:v>-71</x:v>
      </x:c>
      <x:c r="D73" s="36" t="n">
        <x:v>209</x:v>
      </x:c>
      <x:c r="E73" s="28" t="str">
        <x:v>FY2025 10-K; Statements of Cash Flows</x:v>
      </x:c>
    </x:row>
    <x:row r="74">
      <x:c r="A74" s="24" t="str">
        <x:v>Net (gains) losses on derivatives</x:v>
      </x:c>
      <x:c r="B74" s="36" t="n">
        <x:v>-151</x:v>
      </x:c>
      <x:c r="C74" s="36" t="n">
        <x:v>-191</x:v>
      </x:c>
      <x:c r="D74" s="36" t="n">
        <x:v>-198</x:v>
      </x:c>
      <x:c r="E74" s="28" t="str">
        <x:v>FY2025 10-K; Statements of Cash Flows</x:v>
      </x:c>
    </x:row>
    <x:row r="75">
      <x:c r="A75" s="24" t="str">
        <x:v>Share-based compensation and non-cash incentive compensation expense</x:v>
      </x:c>
      <x:c r="B75" s="36" t="n">
        <x:v>194</x:v>
      </x:c>
      <x:c r="C75" s="36" t="n">
        <x:v>172</x:v>
      </x:c>
      <x:c r="D75" s="36" t="n">
        <x:v>151</x:v>
      </x:c>
      <x:c r="E75" s="28" t="str">
        <x:v>FY2025 10-K; Statements of Cash Flows</x:v>
      </x:c>
    </x:row>
    <x:row r="76">
      <x:c r="A76" s="24" t="str">
        <x:v>Deferred income taxes</x:v>
      </x:c>
      <x:c r="B76" s="36" t="n">
        <x:v>-430</x:v>
      </x:c>
      <x:c r="C76" s="36" t="n">
        <x:v>-5</x:v>
      </x:c>
      <x:c r="D76" s="36" t="n">
        <x:v>97</x:v>
      </x:c>
      <x:c r="E76" s="28" t="str">
        <x:v>FY2025 10-K; Statements of Cash Flows</x:v>
      </x:c>
    </x:row>
    <x:row r="77">
      <x:c r="A77" s="24" t="str">
        <x:v>Other non-cash adjustments, net</x:v>
      </x:c>
      <x:c r="B77" s="36" t="n">
        <x:v>26</x:v>
      </x:c>
      <x:c r="C77" s="36" t="n">
        <x:v>19</x:v>
      </x:c>
      <x:c r="D77" s="36" t="n">
        <x:v>49</x:v>
      </x:c>
      <x:c r="E77" s="28" t="str">
        <x:v>FY2025 10-K; Statements of Cash Flows</x:v>
      </x:c>
    </x:row>
    <x:row r="78">
      <x:c r="A78" s="24" t="str">
        <x:v>Accounts and notes receivable</x:v>
      </x:c>
      <x:c r="B78" s="36" t="n">
        <x:v>-147</x:v>
      </x:c>
      <x:c r="C78" s="36" t="n">
        <x:v>7</x:v>
      </x:c>
      <x:c r="D78" s="36" t="n">
        <x:v>-89</x:v>
      </x:c>
      <x:c r="E78" s="28" t="str">
        <x:v>FY2025 10-K; Statements of Cash Flows</x:v>
      </x:c>
    </x:row>
    <x:row r="79">
      <x:c r="A79" s="24" t="str">
        <x:v>Inventories and prepaids and other current assets</x:v>
      </x:c>
      <x:c r="B79" s="36" t="n">
        <x:v>-43</x:v>
      </x:c>
      <x:c r="C79" s="36" t="n">
        <x:v>30</x:v>
      </x:c>
      <x:c r="D79" s="36" t="n">
        <x:v>-67</x:v>
      </x:c>
      <x:c r="E79" s="28" t="str">
        <x:v>FY2025 10-K; Statements of Cash Flows</x:v>
      </x:c>
    </x:row>
    <x:row r="80">
      <x:c r="A80" s="24" t="str">
        <x:v>Accounts and drafts payable</x:v>
      </x:c>
      <x:c r="B80" s="36" t="n">
        <x:v>22</x:v>
      </x:c>
      <x:c r="C80" s="36" t="n">
        <x:v>-30</x:v>
      </x:c>
      <x:c r="D80" s="36" t="n">
        <x:v>89</x:v>
      </x:c>
      <x:c r="E80" s="28" t="str">
        <x:v>FY2025 10-K; Statements of Cash Flows</x:v>
      </x:c>
    </x:row>
    <x:row r="81">
      <x:c r="A81" s="24" t="str">
        <x:v>Other accrued liabilities and gift card liability</x:v>
      </x:c>
      <x:c r="B81" s="36" t="n">
        <x:v>9</x:v>
      </x:c>
      <x:c r="C81" s="36" t="n">
        <x:v>-37</x:v>
      </x:c>
      <x:c r="D81" s="36" t="n">
        <x:v>-7</x:v>
      </x:c>
      <x:c r="E81" s="28" t="str">
        <x:v>FY2025 10-K; Statements of Cash Flows</x:v>
      </x:c>
    </x:row>
    <x:row r="82">
      <x:c r="A82" s="24" t="str">
        <x:v>Tenant inducements paid to franchisees</x:v>
      </x:c>
      <x:c r="B82" s="36" t="n">
        <x:v>-32</x:v>
      </x:c>
      <x:c r="C82" s="36" t="n">
        <x:v>-38</x:v>
      </x:c>
      <x:c r="D82" s="36" t="n">
        <x:v>-44</x:v>
      </x:c>
      <x:c r="E82" s="28" t="str">
        <x:v>FY2025 10-K; Statements of Cash Flows</x:v>
      </x:c>
    </x:row>
    <x:row r="83">
      <x:c r="A83" s="24" t="str">
        <x:v>Changes in other long-term assets and liabilities</x:v>
      </x:c>
      <x:c r="B83" s="36" t="n">
        <x:v>-78</x:v>
      </x:c>
      <x:c r="C83" s="36" t="n">
        <x:v>-41</x:v>
      </x:c>
      <x:c r="D83" s="36" t="n">
        <x:v>6</x:v>
      </x:c>
      <x:c r="E83" s="28" t="str">
        <x:v>FY2025 10-K; Statements of Cash Flows</x:v>
      </x:c>
    </x:row>
    <x:row r="84">
      <x:c r="A84" s="46" t="str">
        <x:v>Net cash provided by operating activities</x:v>
      </x:c>
      <x:c r="B84" s="47" t="n">
        <x:v>1323</x:v>
      </x:c>
      <x:c r="C84" s="47" t="n">
        <x:v>1503</x:v>
      </x:c>
      <x:c r="D84" s="47" t="n">
        <x:v>1714</x:v>
      </x:c>
      <x:c r="E84" s="48" t="str">
        <x:v>FY2025 10-K; Statements of Cash Flows</x:v>
      </x:c>
    </x:row>
    <x:row r="85">
      <x:c r="A85" s="24" t="str">
        <x:v>Payments for additions of property and equipment</x:v>
      </x:c>
      <x:c r="B85" s="36" t="n">
        <x:v>-120</x:v>
      </x:c>
      <x:c r="C85" s="36" t="n">
        <x:v>-201</x:v>
      </x:c>
      <x:c r="D85" s="36" t="n">
        <x:v>-265</x:v>
      </x:c>
      <x:c r="E85" s="28" t="str">
        <x:v>FY2025 10-K; Statements of Cash Flows</x:v>
      </x:c>
    </x:row>
    <x:row r="86">
      <x:c r="A86" s="24" t="str">
        <x:v>Net proceeds from disposal of assets, restaurant closures and refranchisings</x:v>
      </x:c>
      <x:c r="B86" s="36" t="n">
        <x:v>37</x:v>
      </x:c>
      <x:c r="C86" s="36" t="n">
        <x:v>34</x:v>
      </x:c>
      <x:c r="D86" s="36" t="n">
        <x:v>38</x:v>
      </x:c>
      <x:c r="E86" s="28" t="str">
        <x:v>FY2025 10-K; Statements of Cash Flows</x:v>
      </x:c>
    </x:row>
    <x:row r="87">
      <x:c r="A87" s="24" t="str">
        <x:v>Net payments for acquisition of franchised restaurants, net of cash acquired</x:v>
      </x:c>
      <x:c r="B87" s="36" t="n">
        <x:v>-17</x:v>
      </x:c>
      <x:c r="C87" s="36" t="n">
        <x:v>-540</x:v>
      </x:c>
      <x:c r="D87" s="36" t="n">
        <x:v>-152</x:v>
      </x:c>
      <x:c r="E87" s="28" t="str">
        <x:v>FY2025 10-K; Statements of Cash Flows</x:v>
      </x:c>
    </x:row>
    <x:row r="88">
      <x:c r="A88" s="24" t="str">
        <x:v>Settlement/sale of derivatives, net</x:v>
      </x:c>
      <x:c r="B88" s="36" t="n">
        <x:v>112</x:v>
      </x:c>
      <x:c r="C88" s="36" t="n">
        <x:v>74</x:v>
      </x:c>
      <x:c r="D88" s="36" t="n">
        <x:v>76</x:v>
      </x:c>
      <x:c r="E88" s="28" t="str">
        <x:v>FY2025 10-K; Statements of Cash Flows</x:v>
      </x:c>
    </x:row>
    <x:row r="89">
      <x:c r="A89" s="24" t="str">
        <x:v>Other investing activities, net</x:v>
      </x:c>
      <x:c r="B89" s="36" t="n">
        <x:v>-1</x:v>
      </x:c>
      <x:c r="C89" s="36" t="n">
        <x:v>-27</x:v>
      </x:c>
      <x:c r="D89" s="36" t="n">
        <x:v>-15</x:v>
      </x:c>
      <x:c r="E89" s="28" t="str">
        <x:v>FY2025 10-K; Statements of Cash Flows</x:v>
      </x:c>
    </x:row>
    <x:row r="90">
      <x:c r="A90" s="46" t="str">
        <x:v>Net cash (used for) provided by investing activities</x:v>
      </x:c>
      <x:c r="B90" s="47" t="n">
        <x:v>11</x:v>
      </x:c>
      <x:c r="C90" s="47" t="n">
        <x:v>-660</x:v>
      </x:c>
      <x:c r="D90" s="47" t="n">
        <x:v>-318</x:v>
      </x:c>
      <x:c r="E90" s="48" t="str">
        <x:v>FY2025 10-K; Statements of Cash Flows</x:v>
      </x:c>
    </x:row>
    <x:row r="91">
      <x:c r="A91" s="24" t="str">
        <x:v>Proceeds from long-term debt</x:v>
      </x:c>
      <x:c r="B91" s="36" t="n">
        <x:v>55</x:v>
      </x:c>
      <x:c r="C91" s="36" t="n">
        <x:v>2450</x:v>
      </x:c>
      <x:c r="D91" s="36" t="n">
        <x:v>0</x:v>
      </x:c>
      <x:c r="E91" s="28" t="str">
        <x:v>FY2025 10-K; Statements of Cash Flows</x:v>
      </x:c>
    </x:row>
    <x:row r="92">
      <x:c r="A92" s="24" t="str">
        <x:v>Repayments of long-term debt and finance leases</x:v>
      </x:c>
      <x:c r="B92" s="36" t="n">
        <x:v>-92</x:v>
      </x:c>
      <x:c r="C92" s="36" t="n">
        <x:v>-2190</x:v>
      </x:c>
      <x:c r="D92" s="36" t="n">
        <x:v>-427</x:v>
      </x:c>
      <x:c r="E92" s="28" t="str">
        <x:v>FY2025 10-K; Statements of Cash Flows</x:v>
      </x:c>
    </x:row>
    <x:row r="93">
      <x:c r="A93" s="24" t="str">
        <x:v>Payment of financing costs</x:v>
      </x:c>
      <x:c r="B93" s="36" t="n">
        <x:v>-44</x:v>
      </x:c>
      <x:c r="C93" s="36" t="n">
        <x:v>-41</x:v>
      </x:c>
      <x:c r="D93" s="36" t="n">
        <x:v>0</x:v>
      </x:c>
      <x:c r="E93" s="28" t="str">
        <x:v>FY2025 10-K; Statements of Cash Flows</x:v>
      </x:c>
    </x:row>
    <x:row r="94">
      <x:c r="A94" s="24" t="str">
        <x:v>Distributions on Class A common units and Partnership exchangeable units</x:v>
      </x:c>
      <x:c r="B94" s="36" t="n">
        <x:v>-990</x:v>
      </x:c>
      <x:c r="C94" s="36" t="n">
        <x:v>-1029</x:v>
      </x:c>
      <x:c r="D94" s="36" t="n">
        <x:v>-1108</x:v>
      </x:c>
      <x:c r="E94" s="28" t="str">
        <x:v>FY2025 10-K; Statements of Cash Flows</x:v>
      </x:c>
    </x:row>
    <x:row r="95">
      <x:c r="A95" s="24" t="str">
        <x:v>Distributions to RBI for repurchase of RBI common shares</x:v>
      </x:c>
      <x:c r="B95" s="36" t="n">
        <x:v>-500</x:v>
      </x:c>
      <x:c r="C95" s="36" t="n">
        <x:v>0</x:v>
      </x:c>
      <x:c r="D95" s="36" t="n">
        <x:v>0</x:v>
      </x:c>
      <x:c r="E95" s="28" t="str">
        <x:v>FY2025 10-K; Statements of Cash Flows</x:v>
      </x:c>
    </x:row>
    <x:row r="96">
      <x:c r="A96" s="24" t="str">
        <x:v>Capital contribution from RBI</x:v>
      </x:c>
      <x:c r="B96" s="36" t="n">
        <x:v>60</x:v>
      </x:c>
      <x:c r="C96" s="36" t="n">
        <x:v>78</x:v>
      </x:c>
      <x:c r="D96" s="36" t="n">
        <x:v>33</x:v>
      </x:c>
      <x:c r="E96" s="28" t="str">
        <x:v>FY2025 10-K; Statements of Cash Flows</x:v>
      </x:c>
    </x:row>
    <x:row r="97">
      <x:c r="A97" s="24" t="str">
        <x:v>Proceeds from derivatives</x:v>
      </x:c>
      <x:c r="B97" s="36" t="n">
        <x:v>141</x:v>
      </x:c>
      <x:c r="C97" s="36" t="n">
        <x:v>109</x:v>
      </x:c>
      <x:c r="D97" s="36" t="n">
        <x:v>67</x:v>
      </x:c>
      <x:c r="E97" s="28" t="str">
        <x:v>FY2025 10-K; Statements of Cash Flows</x:v>
      </x:c>
    </x:row>
    <x:row r="98">
      <x:c r="A98" s="24" t="str">
        <x:v>Other financing activities, net</x:v>
      </x:c>
      <x:c r="B98" s="36" t="n">
        <x:v>-4</x:v>
      </x:c>
      <x:c r="C98" s="36" t="n">
        <x:v>-2</x:v>
      </x:c>
      <x:c r="D98" s="36" t="n">
        <x:v>-1</x:v>
      </x:c>
      <x:c r="E98" s="28" t="str">
        <x:v>FY2025 10-K; Statements of Cash Flows</x:v>
      </x:c>
    </x:row>
    <x:row r="99">
      <x:c r="A99" s="46" t="str">
        <x:v>Net cash used for financing activities</x:v>
      </x:c>
      <x:c r="B99" s="47" t="n">
        <x:v>-1374</x:v>
      </x:c>
      <x:c r="C99" s="47" t="n">
        <x:v>-625</x:v>
      </x:c>
      <x:c r="D99" s="47" t="n">
        <x:v>-1436</x:v>
      </x:c>
      <x:c r="E99" s="48" t="str">
        <x:v>FY2025 10-K; Statements of Cash Flows</x:v>
      </x:c>
    </x:row>
    <x:row r="100">
      <x:c r="A100" s="24" t="str">
        <x:v>Net cash used for discontinued operations</x:v>
      </x:c>
      <x:c r="B100" s="36" t="n">
        <x:v>0</x:v>
      </x:c>
      <x:c r="C100" s="36" t="n">
        <x:v>0</x:v>
      </x:c>
      <x:c r="D100" s="36" t="n">
        <x:v>-81</x:v>
      </x:c>
      <x:c r="E100" s="28" t="str">
        <x:v>FY2025 10-K; Statements of Cash Flows</x:v>
      </x:c>
    </x:row>
    <x:row r="101">
      <x:c r="A101" s="24" t="str">
        <x:v>Effect of exchange rates on cash and cash equivalents</x:v>
      </x:c>
      <x:c r="B101" s="36" t="n">
        <x:v>1</x:v>
      </x:c>
      <x:c r="C101" s="36" t="n">
        <x:v>-23</x:v>
      </x:c>
      <x:c r="D101" s="36" t="n">
        <x:v>16</x:v>
      </x:c>
      <x:c r="E101" s="28" t="str">
        <x:v>FY2025 10-K; Statements of Cash Flows</x:v>
      </x:c>
    </x:row>
    <x:row r="102">
      <x:c r="A102" s="46" t="str">
        <x:v>Increase (decrease) in cash and cash equivalents</x:v>
      </x:c>
      <x:c r="B102" s="47" t="n">
        <x:v>-39</x:v>
      </x:c>
      <x:c r="C102" s="47" t="n">
        <x:v>195</x:v>
      </x:c>
      <x:c r="D102" s="47" t="n">
        <x:v>-171</x:v>
      </x:c>
      <x:c r="E102" s="48" t="str">
        <x:v>FY2025 10-K; Statements of Cash Flows</x:v>
      </x:c>
    </x:row>
    <x:row r="103">
      <x:c r="A103" s="24" t="str">
        <x:v>Cash and cash equivalents at beginning of period</x:v>
      </x:c>
      <x:c r="B103" s="36" t="n">
        <x:v>1178</x:v>
      </x:c>
      <x:c r="C103" s="36" t="n">
        <x:v>1139</x:v>
      </x:c>
      <x:c r="D103" s="36" t="n">
        <x:v>1334</x:v>
      </x:c>
      <x:c r="E103" s="28" t="str">
        <x:v>FY2025 10-K; Statements of Cash Flows</x:v>
      </x:c>
    </x:row>
    <x:row r="104">
      <x:c r="A104" s="46" t="str">
        <x:v>Cash and cash equivalents at end of period</x:v>
      </x:c>
      <x:c r="B104" s="47" t="n">
        <x:v>1139</x:v>
      </x:c>
      <x:c r="C104" s="47" t="n">
        <x:v>1334</x:v>
      </x:c>
      <x:c r="D104" s="47" t="n">
        <x:v>1163</x:v>
      </x:c>
      <x:c r="E104" s="48" t="str">
        <x:v>FY2025 10-K; Statements of Cash Flows</x:v>
      </x:c>
    </x:row>
    <x:row r="105">
      <x:c r="A105" s="46" t="str">
        <x:v>Free cash flow (CFO - capex)</x:v>
      </x:c>
      <x:c r="B105" s="47" t="n">
        <x:v>1203</x:v>
      </x:c>
      <x:c r="C105" s="47" t="n">
        <x:v>1302</x:v>
      </x:c>
      <x:c r="D105" s="47" t="n">
        <x:v>1449</x:v>
      </x:c>
      <x:c r="E105" s="48" t="str">
        <x:v>FY2025 10-K; Statements of Cash Flows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26" t="str">
        <x:v>Segment Detail — QSR Revenue Mix and Operating Drivers ($mm except restaurant count)</x:v>
      </x:c>
    </x:row>
    <x:row r="3">
      <x:c r="A3" s="30" t="str">
        <x:v>2025 Segment</x:v>
      </x:c>
      <x:c r="B3" s="30" t="str">
        <x:v>System-wide Sales</x:v>
      </x:c>
      <x:c r="C3" s="30" t="str">
        <x:v>Revenue</x:v>
      </x:c>
      <x:c r="D3" s="30" t="str">
        <x:v>Adjusted Operating Income</x:v>
      </x:c>
      <x:c r="E3" s="30" t="str">
        <x:v>System Restaurant Count</x:v>
      </x:c>
    </x:row>
    <x:row r="4">
      <x:c r="A4" t="str">
        <x:v>TH</x:v>
      </x:c>
      <x:c r="B4" s="36" t="n">
        <x:v>7573</x:v>
      </x:c>
      <x:c r="C4" s="36" t="n">
        <x:v>4247</x:v>
      </x:c>
      <x:c r="D4" s="36" t="n">
        <x:v>1077</x:v>
      </x:c>
      <x:c r="E4" s="36" t="n">
        <x:v>4586</x:v>
      </x:c>
    </x:row>
    <x:row r="5">
      <x:c r="A5" t="str">
        <x:v>BK</x:v>
      </x:c>
      <x:c r="B5" s="36" t="n">
        <x:v>11578</x:v>
      </x:c>
      <x:c r="C5" s="36" t="n">
        <x:v>1514</x:v>
      </x:c>
      <x:c r="D5" s="36" t="n">
        <x:v>468</x:v>
      </x:c>
      <x:c r="E5" s="36" t="n">
        <x:v>7025</x:v>
      </x:c>
    </x:row>
    <x:row r="6">
      <x:c r="A6" t="str">
        <x:v>PLK</x:v>
      </x:c>
      <x:c r="B6" s="36" t="n">
        <x:v>6076</x:v>
      </x:c>
      <x:c r="C6" s="36" t="n">
        <x:v>800</x:v>
      </x:c>
      <x:c r="D6" s="36" t="n">
        <x:v>250</x:v>
      </x:c>
      <x:c r="E6" s="36" t="n">
        <x:v>3578</x:v>
      </x:c>
    </x:row>
    <x:row r="7">
      <x:c r="A7" t="str">
        <x:v>FHS</x:v>
      </x:c>
      <x:c r="B7" s="36" t="n">
        <x:v>1337</x:v>
      </x:c>
      <x:c r="C7" s="36" t="n">
        <x:v>232</x:v>
      </x:c>
      <x:c r="D7" s="36" t="n">
        <x:v>56</x:v>
      </x:c>
      <x:c r="E7" s="36" t="n">
        <x:v>1449</x:v>
      </x:c>
    </x:row>
    <x:row r="8">
      <x:c r="A8" t="str">
        <x:v>INTL</x:v>
      </x:c>
      <x:c r="B8" s="36" t="n">
        <x:v>20199</x:v>
      </x:c>
      <x:c r="C8" s="36" t="n">
        <x:v>998</x:v>
      </x:c>
      <x:c r="D8" s="36" t="n">
        <x:v>690</x:v>
      </x:c>
      <x:c r="E8" s="36" t="n">
        <x:v>16403</x:v>
      </x:c>
    </x:row>
    <x:row r="9">
      <x:c r="A9" t="str">
        <x:v>RH</x:v>
      </x:c>
      <x:c r="B9" s="36" t="str"/>
      <x:c r="C9" s="36" t="n">
        <x:v>1840</x:v>
      </x:c>
      <x:c r="D9" s="36" t="n">
        <x:v>44</x:v>
      </x:c>
      <x:c r="E9" s="36" t="n">
        <x:v>1087</x:v>
      </x:c>
    </x:row>
    <x:row r="10">
      <x:c r="A10" t="str">
        <x:v>Eliminations</x:v>
      </x:c>
      <x:c r="B10" s="36" t="str"/>
      <x:c r="C10" s="36" t="n">
        <x:v>-197</x:v>
      </x:c>
      <x:c r="D10" s="36" t="str"/>
      <x:c r="E10" s="36" t="str"/>
    </x:row>
    <x:row r="11">
      <x:c r="A11" s="52" t="str">
        <x:v>Total</x:v>
      </x:c>
      <x:c r="B11" s="47" t="n">
        <x:v>46763</x:v>
      </x:c>
      <x:c r="C11" s="47" t="n">
        <x:v>9434</x:v>
      </x:c>
      <x:c r="D11" s="47" t="n">
        <x:v>2584</x:v>
      </x:c>
      <x:c r="E11" s="47" t="n">
        <x:v>34128</x:v>
      </x:c>
    </x:row>
    <x:row r="12">
      <x:c r="B12" s="36"/>
      <x:c r="C12" s="36"/>
      <x:c r="D12" s="36"/>
      <x:c r="E12" s="36"/>
    </x:row>
    <x:row r="13">
      <x:c r="A13" s="30" t="str">
        <x:v>2024 Segment</x:v>
      </x:c>
      <x:c r="B13" s="37" t="str">
        <x:v>System-wide Sales</x:v>
      </x:c>
      <x:c r="C13" s="37" t="str">
        <x:v>Revenue</x:v>
      </x:c>
      <x:c r="D13" s="37" t="str">
        <x:v>Adjusted Operating Income</x:v>
      </x:c>
      <x:c r="E13" s="37" t="str">
        <x:v>System Restaurant Count</x:v>
      </x:c>
    </x:row>
    <x:row r="14">
      <x:c r="A14" t="str">
        <x:v>TH</x:v>
      </x:c>
      <x:c r="B14" s="36" t="n">
        <x:v>7479</x:v>
      </x:c>
      <x:c r="C14" s="36" t="n">
        <x:v>4040</x:v>
      </x:c>
      <x:c r="D14" s="36" t="n">
        <x:v>1043</x:v>
      </x:c>
      <x:c r="E14" s="36" t="n">
        <x:v>4539</x:v>
      </x:c>
    </x:row>
    <x:row r="15">
      <x:c r="A15" t="str">
        <x:v>BK</x:v>
      </x:c>
      <x:c r="B15" s="36" t="n">
        <x:v>11484</x:v>
      </x:c>
      <x:c r="C15" s="36" t="n">
        <x:v>1450</x:v>
      </x:c>
      <x:c r="D15" s="36" t="n">
        <x:v>410</x:v>
      </x:c>
      <x:c r="E15" s="36" t="n">
        <x:v>7082</x:v>
      </x:c>
    </x:row>
    <x:row r="16">
      <x:c r="A16" t="str">
        <x:v>PLK</x:v>
      </x:c>
      <x:c r="B16" s="36" t="n">
        <x:v>6124</x:v>
      </x:c>
      <x:c r="C16" s="36" t="n">
        <x:v>768</x:v>
      </x:c>
      <x:c r="D16" s="36" t="n">
        <x:v>243</x:v>
      </x:c>
      <x:c r="E16" s="36" t="n">
        <x:v>3520</x:v>
      </x:c>
    </x:row>
    <x:row r="17">
      <x:c r="A17" t="str">
        <x:v>FHS</x:v>
      </x:c>
      <x:c r="B17" s="36" t="n">
        <x:v>1233</x:v>
      </x:c>
      <x:c r="C17" s="36" t="n">
        <x:v>214</x:v>
      </x:c>
      <x:c r="D17" s="36" t="n">
        <x:v>48</x:v>
      </x:c>
      <x:c r="E17" s="36" t="n">
        <x:v>1345</x:v>
      </x:c>
    </x:row>
    <x:row r="18">
      <x:c r="A18" t="str">
        <x:v>INTL</x:v>
      </x:c>
      <x:c r="B18" s="36" t="n">
        <x:v>18156</x:v>
      </x:c>
      <x:c r="C18" s="36" t="n">
        <x:v>935</x:v>
      </x:c>
      <x:c r="D18" s="36" t="n">
        <x:v>614</x:v>
      </x:c>
      <x:c r="E18" s="36" t="n">
        <x:v>15639</x:v>
      </x:c>
    </x:row>
    <x:row r="19">
      <x:c r="A19" t="str">
        <x:v>RH</x:v>
      </x:c>
      <x:c r="B19" s="36" t="str"/>
      <x:c r="C19" s="36" t="n">
        <x:v>1116</x:v>
      </x:c>
      <x:c r="D19" s="36" t="n">
        <x:v>44</x:v>
      </x:c>
      <x:c r="E19" s="36" t="n">
        <x:v>1036</x:v>
      </x:c>
    </x:row>
    <x:row r="20">
      <x:c r="A20" t="str">
        <x:v>Eliminations</x:v>
      </x:c>
      <x:c r="B20" s="36" t="str"/>
      <x:c r="C20" s="36" t="n">
        <x:v>-117</x:v>
      </x:c>
      <x:c r="D20" s="36" t="str"/>
      <x:c r="E20" s="36" t="str"/>
    </x:row>
    <x:row r="21">
      <x:c r="A21" s="52" t="str">
        <x:v>Total</x:v>
      </x:c>
      <x:c r="B21" s="47" t="n">
        <x:v>44476</x:v>
      </x:c>
      <x:c r="C21" s="47" t="n">
        <x:v>8406</x:v>
      </x:c>
      <x:c r="D21" s="47" t="n">
        <x:v>2402</x:v>
      </x:c>
      <x:c r="E21" s="47" t="n">
        <x:v>33161</x:v>
      </x:c>
    </x:row>
    <x:row r="23">
      <x:c r="A23" s="54" t="str">
        <x:v>Notes: RH system-wide sales is not presented in the same way as franchisor brand system-wide sales in the model; total system-wide sales shown here sums disclosed brand-level rows where available. Segment revenue reconciles to consolidated revenue after eliminations.</x:v>
      </x:c>
    </x:row>
  </x:sheetData>
  <x:mergeCells>
    <x:mergeCell ref="A1:H1"/>
    <x:mergeCell ref="A23:H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26" t="str">
        <x:v>Forecast Assumptions — QSR</x:v>
      </x:c>
    </x:row>
    <x:row r="3">
      <x:c r="A3" s="30" t="str">
        <x:v>Assumption</x:v>
      </x:c>
      <x:c r="B3" s="30" t="str">
        <x:v>2026E</x:v>
      </x:c>
      <x:c r="C3" s="30" t="str">
        <x:v>2027E</x:v>
      </x:c>
      <x:c r="D3" s="30" t="str">
        <x:v>2028E</x:v>
      </x:c>
      <x:c r="E3" s="30" t="str">
        <x:v>2029E</x:v>
      </x:c>
      <x:c r="F3" s="30" t="str">
        <x:v>2030E</x:v>
      </x:c>
      <x:c r="G3" s="30" t="str">
        <x:v>Rationale</x:v>
      </x:c>
      <x:c r="H3" s="30" t="str">
        <x:v>Status</x:v>
      </x:c>
    </x:row>
    <x:row r="4">
      <x:c r="A4" t="str">
        <x:v>Revenue growth</x:v>
      </x:c>
      <x:c r="B4" s="59" t="n">
        <x:v>0.045</x:v>
      </x:c>
      <x:c r="C4" s="59" t="n">
        <x:v>0.04</x:v>
      </x:c>
      <x:c r="D4" s="59" t="n">
        <x:v>0.038</x:v>
      </x:c>
      <x:c r="E4" s="59" t="n">
        <x:v>0.035</x:v>
      </x:c>
      <x:c r="F4" s="59" t="n">
        <x:v>0.033</x:v>
      </x:c>
      <x:c r="G4" s="24" t="str">
        <x:v>Moderating growth from system-wide sales, franchise/property revenue, and RH normalization</x:v>
      </x:c>
      <x:c r="H4" s="24" t="str">
        <x:v>Assumption</x:v>
      </x:c>
    </x:row>
    <x:row r="5">
      <x:c r="A5" t="str">
        <x:v>Operating margin</x:v>
      </x:c>
      <x:c r="B5" s="59" t="n">
        <x:v>0.238</x:v>
      </x:c>
      <x:c r="C5" s="59" t="n">
        <x:v>0.242</x:v>
      </x:c>
      <x:c r="D5" s="59" t="n">
        <x:v>0.246</x:v>
      </x:c>
      <x:c r="E5" s="59" t="n">
        <x:v>0.25</x:v>
      </x:c>
      <x:c r="F5" s="59" t="n">
        <x:v>0.252</x:v>
      </x:c>
      <x:c r="G5" s="24" t="str">
        <x:v>Gradual margin recovery from 2025 after FX/transaction noise</x:v>
      </x:c>
      <x:c r="H5" s="24" t="str">
        <x:v>Assumption</x:v>
      </x:c>
    </x:row>
    <x:row r="6">
      <x:c r="A6" t="str">
        <x:v>Cash tax rate</x:v>
      </x:c>
      <x:c r="B6" s="59" t="n">
        <x:v>0.24</x:v>
      </x:c>
      <x:c r="C6" s="59" t="n">
        <x:v>0.24</x:v>
      </x:c>
      <x:c r="D6" s="59" t="n">
        <x:v>0.24</x:v>
      </x:c>
      <x:c r="E6" s="59" t="n">
        <x:v>0.24</x:v>
      </x:c>
      <x:c r="F6" s="59" t="n">
        <x:v>0.24</x:v>
      </x:c>
      <x:c r="G6" s="24" t="str">
        <x:v>Normalized long-run cash tax rate; 2025 effective rate was 28.7%</x:v>
      </x:c>
      <x:c r="H6" s="24" t="str">
        <x:v>Assumption</x:v>
      </x:c>
    </x:row>
    <x:row r="7">
      <x:c r="A7" t="str">
        <x:v>D&amp;A as % of revenue</x:v>
      </x:c>
      <x:c r="B7" s="59" t="n">
        <x:v>0.032</x:v>
      </x:c>
      <x:c r="C7" s="59" t="n">
        <x:v>0.031</x:v>
      </x:c>
      <x:c r="D7" s="59" t="n">
        <x:v>0.03</x:v>
      </x:c>
      <x:c r="E7" s="59" t="n">
        <x:v>0.03</x:v>
      </x:c>
      <x:c r="F7" s="59" t="n">
        <x:v>0.029</x:v>
      </x:c>
      <x:c r="G7" s="24" t="str">
        <x:v>Historical D&amp;A / revenue with modest operating leverage</x:v>
      </x:c>
      <x:c r="H7" s="24" t="str">
        <x:v>Assumption</x:v>
      </x:c>
    </x:row>
    <x:row r="8">
      <x:c r="A8" t="str">
        <x:v>Capex as % of revenue</x:v>
      </x:c>
      <x:c r="B8" s="59" t="n">
        <x:v>0.03</x:v>
      </x:c>
      <x:c r="C8" s="59" t="n">
        <x:v>0.03</x:v>
      </x:c>
      <x:c r="D8" s="59" t="n">
        <x:v>0.03</x:v>
      </x:c>
      <x:c r="E8" s="59" t="n">
        <x:v>0.029</x:v>
      </x:c>
      <x:c r="F8" s="59" t="n">
        <x:v>0.029</x:v>
      </x:c>
      <x:c r="G8" s="24" t="str">
        <x:v>Capex intensity based on recent capex; includes company restaurant base</x:v>
      </x:c>
      <x:c r="H8" s="24" t="str">
        <x:v>Assumption</x:v>
      </x:c>
    </x:row>
    <x:row r="9">
      <x:c r="A9" t="str">
        <x:v>NWC investment as % of revenue growth</x:v>
      </x:c>
      <x:c r="B9" s="59" t="n">
        <x:v>0.07</x:v>
      </x:c>
      <x:c r="C9" s="59" t="n">
        <x:v>0.07</x:v>
      </x:c>
      <x:c r="D9" s="59" t="n">
        <x:v>0.07</x:v>
      </x:c>
      <x:c r="E9" s="59" t="n">
        <x:v>0.07</x:v>
      </x:c>
      <x:c r="F9" s="59" t="n">
        <x:v>0.07</x:v>
      </x:c>
      <x:c r="G9" s="24" t="str">
        <x:v>Simplified working-capital investment on incremental revenue</x:v>
      </x:c>
      <x:c r="H9" s="24" t="str">
        <x:v>Assumption</x:v>
      </x:c>
    </x:row>
    <x:row r="10">
      <x:c r="A10" t="str">
        <x:v>WACC</x:v>
      </x:c>
      <x:c r="B10" s="59" t="n">
        <x:v>0.085</x:v>
      </x:c>
      <x:c r="C10" s="59" t="n">
        <x:v>0.085</x:v>
      </x:c>
      <x:c r="D10" s="59" t="n">
        <x:v>0.085</x:v>
      </x:c>
      <x:c r="E10" s="59" t="n">
        <x:v>0.085</x:v>
      </x:c>
      <x:c r="F10" s="59" t="n">
        <x:v>0.085</x:v>
      </x:c>
      <x:c r="G10" s="24" t="str">
        <x:v>DCF discount rate assumption</x:v>
      </x:c>
      <x:c r="H10" s="24" t="str">
        <x:v>Assumption</x:v>
      </x:c>
    </x:row>
    <x:row r="11">
      <x:c r="A11" t="str">
        <x:v>Terminal growth</x:v>
      </x:c>
      <x:c r="B11" s="59" t="n">
        <x:v>0.025</x:v>
      </x:c>
      <x:c r="C11" s="59" t="n">
        <x:v>0.025</x:v>
      </x:c>
      <x:c r="D11" s="59" t="n">
        <x:v>0.025</x:v>
      </x:c>
      <x:c r="E11" s="59" t="n">
        <x:v>0.025</x:v>
      </x:c>
      <x:c r="F11" s="59" t="n">
        <x:v>0.025</x:v>
      </x:c>
      <x:c r="G11" s="24" t="str">
        <x:v>Long-run mature franchisor growth assumption</x:v>
      </x:c>
      <x:c r="H11" s="24" t="str">
        <x:v>Assumption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s="26" t="str">
        <x:v>Forecast Model — Formula Driven ($mm)</x:v>
      </x:c>
    </x:row>
    <x:row r="3">
      <x:c r="A3" s="30" t="str">
        <x:v>Metric</x:v>
      </x:c>
      <x:c r="B3" s="30" t="str">
        <x:v>2025A</x:v>
      </x:c>
      <x:c r="C3" s="30" t="str">
        <x:v>2026E</x:v>
      </x:c>
      <x:c r="D3" s="30" t="str">
        <x:v>2027E</x:v>
      </x:c>
      <x:c r="E3" s="30" t="str">
        <x:v>2028E</x:v>
      </x:c>
      <x:c r="F3" s="30" t="str">
        <x:v>2029E</x:v>
      </x:c>
      <x:c r="G3" s="30" t="str">
        <x:v>2030E</x:v>
      </x:c>
      <x:c r="H3" s="30" t="str">
        <x:v>Source / Linkage</x:v>
      </x:c>
    </x:row>
    <x:row r="4">
      <x:c r="A4" s="52" t="str">
        <x:v>Revenue</x:v>
      </x:c>
      <x:c r="B4" s="70" t="n">
        <x:f>Historical_Financials!D8</x:f>
        <x:v>9434</x:v>
      </x:c>
      <x:c r="C4" s="71" t="n">
        <x:f>B4*(1+Assumptions!B4)</x:f>
        <x:v>9858.529999999999</x:v>
      </x:c>
      <x:c r="D4" s="71" t="n">
        <x:f>C4*(1+Assumptions!C4)</x:f>
        <x:v>10252.8712</x:v>
      </x:c>
      <x:c r="E4" s="71" t="n">
        <x:f>D4*(1+Assumptions!D4)</x:f>
        <x:v>10642.4803056</x:v>
      </x:c>
      <x:c r="F4" s="71" t="n">
        <x:f>E4*(1+Assumptions!E4)</x:f>
        <x:v>11014.967116295998</x:v>
      </x:c>
      <x:c r="G4" s="71" t="n">
        <x:f>F4*(1+Assumptions!F4)</x:f>
        <x:v>11378.461031133766</x:v>
      </x:c>
      <x:c r="H4" s="46" t="str">
        <x:v>2025A from 10-K; forecast growth assumptions</x:v>
      </x:c>
    </x:row>
    <x:row r="5">
      <x:c r="A5" t="str">
        <x:v>Revenue growth</x:v>
      </x:c>
      <x:c r="B5" s="63" t="n">
        <x:f>B4/Historical_Financials!C8-1</x:f>
        <x:v>0.1222935998096597</x:v>
      </x:c>
      <x:c r="C5" s="67" t="n">
        <x:f>C4/B4-1</x:f>
        <x:v>0.04499999999999993</x:v>
      </x:c>
      <x:c r="D5" s="67" t="n">
        <x:f>D4/C4-1</x:f>
        <x:v>0.040000000000000036</x:v>
      </x:c>
      <x:c r="E5" s="67" t="n">
        <x:f>E4/D4-1</x:f>
        <x:v>0.038000000000000034</x:v>
      </x:c>
      <x:c r="F5" s="67" t="n">
        <x:f>F4/E4-1</x:f>
        <x:v>0.03499999999999992</x:v>
      </x:c>
      <x:c r="G5" s="67" t="n">
        <x:f>G4/F4-1</x:f>
        <x:v>0.03299999999999992</x:v>
      </x:c>
      <x:c r="H5" s="24" t="str">
        <x:v>Formula</x:v>
      </x:c>
    </x:row>
    <x:row r="6">
      <x:c r="A6" s="52" t="str">
        <x:v>Operating income</x:v>
      </x:c>
      <x:c r="B6" s="70" t="n">
        <x:f>Historical_Financials!D17</x:f>
        <x:v>2202</x:v>
      </x:c>
      <x:c r="C6" s="71" t="n">
        <x:f>C4*Assumptions!B5</x:f>
        <x:v>2346.3301399999996</x:v>
      </x:c>
      <x:c r="D6" s="71" t="n">
        <x:f>D4*Assumptions!C5</x:f>
        <x:v>2481.1948304</x:v>
      </x:c>
      <x:c r="E6" s="71" t="n">
        <x:f>E4*Assumptions!D5</x:f>
        <x:v>2618.0501551776</x:v>
      </x:c>
      <x:c r="F6" s="71" t="n">
        <x:f>F4*Assumptions!E5</x:f>
        <x:v>2753.7417790739996</x:v>
      </x:c>
      <x:c r="G6" s="71" t="n">
        <x:f>G4*Assumptions!F5</x:f>
        <x:v>2867.372179845709</x:v>
      </x:c>
      <x:c r="H6" s="46" t="str">
        <x:v>2025A from 10-K; forecast margin assumptions</x:v>
      </x:c>
    </x:row>
    <x:row r="7">
      <x:c r="A7" t="str">
        <x:v>Operating margin</x:v>
      </x:c>
      <x:c r="B7" s="63" t="n">
        <x:f>B6/B4</x:f>
        <x:v>0.23341106635573458</x:v>
      </x:c>
      <x:c r="C7" s="67" t="n">
        <x:f>C6/C4</x:f>
        <x:v>0.238</x:v>
      </x:c>
      <x:c r="D7" s="67" t="n">
        <x:f>D6/D4</x:f>
        <x:v>0.242</x:v>
      </x:c>
      <x:c r="E7" s="67" t="n">
        <x:f>E6/E4</x:f>
        <x:v>0.246</x:v>
      </x:c>
      <x:c r="F7" s="67" t="n">
        <x:f>F6/F4</x:f>
        <x:v>0.25</x:v>
      </x:c>
      <x:c r="G7" s="67" t="n">
        <x:f>G6/G4</x:f>
        <x:v>0.252</x:v>
      </x:c>
      <x:c r="H7" s="24" t="str">
        <x:v>Formula</x:v>
      </x:c>
    </x:row>
    <x:row r="8">
      <x:c r="A8" t="str">
        <x:v>Tax expense</x:v>
      </x:c>
      <x:c r="B8" s="62" t="n">
        <x:f>Historical_Financials!D21</x:f>
        <x:v>483</x:v>
      </x:c>
      <x:c r="C8" s="66" t="n">
        <x:f>C6*Assumptions!B6</x:f>
        <x:v>563.1192335999999</x:v>
      </x:c>
      <x:c r="D8" s="66" t="n">
        <x:f>D6*Assumptions!C6</x:f>
        <x:v>595.486759296</x:v>
      </x:c>
      <x:c r="E8" s="66" t="n">
        <x:f>E6*Assumptions!D6</x:f>
        <x:v>628.332037242624</x:v>
      </x:c>
      <x:c r="F8" s="66" t="n">
        <x:f>F6*Assumptions!E6</x:f>
        <x:v>660.8980269777599</x:v>
      </x:c>
      <x:c r="G8" s="66" t="n">
        <x:f>G6*Assumptions!F6</x:f>
        <x:v>688.1693231629702</x:v>
      </x:c>
      <x:c r="H8" s="24" t="str">
        <x:v>Cash tax assumption</x:v>
      </x:c>
    </x:row>
    <x:row r="9">
      <x:c r="A9" t="str">
        <x:v>NOPAT</x:v>
      </x:c>
      <x:c r="B9" s="62" t="n">
        <x:f>B6-B8</x:f>
        <x:v>1719</x:v>
      </x:c>
      <x:c r="C9" s="66" t="n">
        <x:f>C6-C8</x:f>
        <x:v>1783.2109063999997</x:v>
      </x:c>
      <x:c r="D9" s="66" t="n">
        <x:f>D6-D8</x:f>
        <x:v>1885.7080711039998</x:v>
      </x:c>
      <x:c r="E9" s="66" t="n">
        <x:f>E6-E8</x:f>
        <x:v>1989.7181179349761</x:v>
      </x:c>
      <x:c r="F9" s="66" t="n">
        <x:f>F6-F8</x:f>
        <x:v>2092.8437520962398</x:v>
      </x:c>
      <x:c r="G9" s="66" t="n">
        <x:f>G6-G8</x:f>
        <x:v>2179.202856682739</x:v>
      </x:c>
      <x:c r="H9" s="24" t="str">
        <x:v>Formula</x:v>
      </x:c>
    </x:row>
    <x:row r="10">
      <x:c r="A10" s="52" t="str">
        <x:v>D&amp;A</x:v>
      </x:c>
      <x:c r="B10" s="70" t="n">
        <x:f>Historical_Financials!D69</x:f>
        <x:v>301</x:v>
      </x:c>
      <x:c r="C10" s="71" t="n">
        <x:f>C4*Assumptions!B7</x:f>
        <x:v>315.47295999999994</x:v>
      </x:c>
      <x:c r="D10" s="71" t="n">
        <x:f>D4*Assumptions!C7</x:f>
        <x:v>317.83900719999997</x:v>
      </x:c>
      <x:c r="E10" s="71" t="n">
        <x:f>E4*Assumptions!D7</x:f>
        <x:v>319.274409168</x:v>
      </x:c>
      <x:c r="F10" s="71" t="n">
        <x:f>F4*Assumptions!E7</x:f>
        <x:v>330.4490134888799</x:v>
      </x:c>
      <x:c r="G10" s="71" t="n">
        <x:f>G4*Assumptions!F7</x:f>
        <x:v>329.9753699028792</x:v>
      </x:c>
      <x:c r="H10" s="46" t="str">
        <x:v>Forecast % of revenue</x:v>
      </x:c>
    </x:row>
    <x:row r="11">
      <x:c r="A11" t="str">
        <x:v>Capex</x:v>
      </x:c>
      <x:c r="B11" s="62" t="n">
        <x:f>-Historical_Financials!D85</x:f>
        <x:v>265</x:v>
      </x:c>
      <x:c r="C11" s="66" t="n">
        <x:f>C4*Assumptions!B8</x:f>
        <x:v>295.75589999999994</x:v>
      </x:c>
      <x:c r="D11" s="66" t="n">
        <x:f>D4*Assumptions!C8</x:f>
        <x:v>307.58613599999995</x:v>
      </x:c>
      <x:c r="E11" s="66" t="n">
        <x:f>E4*Assumptions!D8</x:f>
        <x:v>319.274409168</x:v>
      </x:c>
      <x:c r="F11" s="66" t="n">
        <x:f>F4*Assumptions!E8</x:f>
        <x:v>319.43404637258396</x:v>
      </x:c>
      <x:c r="G11" s="66" t="n">
        <x:f>G4*Assumptions!F8</x:f>
        <x:v>329.9753699028792</x:v>
      </x:c>
      <x:c r="H11" s="24" t="str">
        <x:v>Forecast % of revenue</x:v>
      </x:c>
    </x:row>
    <x:row r="12">
      <x:c r="A12" t="str">
        <x:v>Change in NWC</x:v>
      </x:c>
      <x:c r="B12" s="62" t="n">
        <x:f>-(Historical_Financials!D78+Historical_Financials!D79+Historical_Financials!D80+Historical_Financials!D81)</x:f>
        <x:v>74</x:v>
      </x:c>
      <x:c r="C12" s="66" t="n">
        <x:f>-(C4-B4)*Assumptions!B9</x:f>
        <x:v>-29.71709999999992</x:v>
      </x:c>
      <x:c r="D12" s="66" t="n">
        <x:f>-(D4-C4)*Assumptions!C9</x:f>
        <x:v>-27.603884000000054</x:v>
      </x:c>
      <x:c r="E12" s="66" t="n">
        <x:f>-(E4-D4)*Assumptions!D9</x:f>
        <x:v>-27.272637392000036</x:v>
      </x:c>
      <x:c r="F12" s="66" t="n">
        <x:f>-(F4-E4)*Assumptions!E9</x:f>
        <x:v>-26.074076748719893</x:v>
      </x:c>
      <x:c r="G12" s="66" t="n">
        <x:f>-(G4-F4)*Assumptions!F9</x:f>
        <x:v>-25.444574038643697</x:v>
      </x:c>
      <x:c r="H12" s="24" t="str">
        <x:v>Simplified NWC investment on incremental revenue</x:v>
      </x:c>
    </x:row>
    <x:row r="13">
      <x:c r="A13" t="str">
        <x:v>Unlevered FCF</x:v>
      </x:c>
      <x:c r="B13" s="62" t="n">
        <x:f>B9+B10-B11+B12</x:f>
        <x:v>1829</x:v>
      </x:c>
      <x:c r="C13" s="66" t="n">
        <x:f>C9+C10-C11+C12</x:f>
        <x:v>1773.2108664</x:v>
      </x:c>
      <x:c r="D13" s="66" t="n">
        <x:f>D9+D10-D11+D12</x:f>
        <x:v>1868.357058304</x:v>
      </x:c>
      <x:c r="E13" s="66" t="n">
        <x:f>E9+E10-E11+E12</x:f>
        <x:v>1962.4454805429762</x:v>
      </x:c>
      <x:c r="F13" s="66" t="n">
        <x:f>F9+F10-F11+F12</x:f>
        <x:v>2077.784642463816</x:v>
      </x:c>
      <x:c r="G13" s="66" t="n">
        <x:f>G9+G10-G11+G12</x:f>
        <x:v>2153.7582826440953</x:v>
      </x:c>
      <x:c r="H13" s="24" t="str">
        <x:v>Formula</x:v>
      </x:c>
    </x:row>
    <x:row r="14">
      <x:c r="A14" s="52" t="str">
        <x:v>Ending cash</x:v>
      </x:c>
      <x:c r="B14" s="70" t="n">
        <x:f>Historical_Financials!D104</x:f>
        <x:v>1163</x:v>
      </x:c>
      <x:c r="C14" s="71" t="n">
        <x:f>B14+C13</x:f>
        <x:v>2936.2108663999998</x:v>
      </x:c>
      <x:c r="D14" s="71" t="n">
        <x:f>C14+D13</x:f>
        <x:v>4804.567924704</x:v>
      </x:c>
      <x:c r="E14" s="71" t="n">
        <x:f>D14+E13</x:f>
        <x:v>6767.013405246976</x:v>
      </x:c>
      <x:c r="F14" s="71" t="n">
        <x:f>E14+F13</x:f>
        <x:v>8844.798047710792</x:v>
      </x:c>
      <x:c r="G14" s="71" t="n">
        <x:f>F14+G13</x:f>
        <x:v>10998.556330354888</x:v>
      </x:c>
      <x:c r="H14" s="46" t="str">
        <x:v>Simple cash bridge from FCF</x:v>
      </x:c>
    </x:row>
    <x:row r="15">
      <x:c r="A15" t="str">
        <x:v>Debt + finance leases</x:v>
      </x:c>
      <x:c r="B15" s="62" t="n">
        <x:f>Historical_Financials!D46+Historical_Financials!D49+Historical_Financials!D50</x:f>
        <x:v>13579</x:v>
      </x:c>
      <x:c r="C15" s="66" t="n">
        <x:f>B15</x:f>
        <x:v>13579</x:v>
      </x:c>
      <x:c r="D15" s="66" t="n">
        <x:f>C15</x:f>
        <x:v>13579</x:v>
      </x:c>
      <x:c r="E15" s="66" t="n">
        <x:f>D15</x:f>
        <x:v>13579</x:v>
      </x:c>
      <x:c r="F15" s="66" t="n">
        <x:f>E15</x:f>
        <x:v>13579</x:v>
      </x:c>
      <x:c r="G15" s="66" t="n">
        <x:f>F15</x:f>
        <x:v>13579</x:v>
      </x:c>
      <x:c r="H15" s="24" t="str">
        <x:v>Held flat for forecast simplification</x:v>
      </x:c>
    </x:row>
    <x:row r="16">
      <x:c r="A16" t="str">
        <x:v>Forecast balancing item / other net assets</x:v>
      </x:c>
      <x:c r="B16" s="62" t="n">
        <x:f>0</x:f>
        <x:v>0</x:v>
      </x:c>
      <x:c r="C16" s="66" t="n">
        <x:f>C15-C14</x:f>
        <x:v>10642.7891336</x:v>
      </x:c>
      <x:c r="D16" s="66" t="n">
        <x:f>D15-D14</x:f>
        <x:v>8774.432075296001</x:v>
      </x:c>
      <x:c r="E16" s="66" t="n">
        <x:f>E15-E14</x:f>
        <x:v>6811.986594753024</x:v>
      </x:c>
      <x:c r="F16" s="66" t="n">
        <x:f>F15-F14</x:f>
        <x:v>4734.201952289208</x:v>
      </x:c>
      <x:c r="G16" s="66" t="n">
        <x:f>G15-G14</x:f>
        <x:v>2580.443669645112</x:v>
      </x:c>
      <x:c r="H16" s="24" t="str">
        <x:v>Explicitly labeled forecast balancing item only</x:v>
      </x:c>
    </x:row>
    <x:row r="17">
      <x:c r="A17" t="str">
        <x:v>Balance check</x:v>
      </x:c>
      <x:c r="B17" s="62" t="n">
        <x:f>0</x:f>
        <x:v>0</x:v>
      </x:c>
      <x:c r="C17" s="66" t="n">
        <x:f>C14+C16-C15</x:f>
        <x:v>0</x:v>
      </x:c>
      <x:c r="D17" s="66" t="n">
        <x:f>D14+D16-D15</x:f>
        <x:v>0</x:v>
      </x:c>
      <x:c r="E17" s="66" t="n">
        <x:f>E14+E16-E15</x:f>
        <x:v>0</x:v>
      </x:c>
      <x:c r="F17" s="66" t="n">
        <x:f>F14+F16-F15</x:f>
        <x:v>0</x:v>
      </x:c>
      <x:c r="G17" s="66" t="n">
        <x:f>G14+G16-G15</x:f>
        <x:v>0</x:v>
      </x:c>
      <x:c r="H17" s="24" t="str">
        <x:v>Should equal zero</x:v>
      </x:c>
    </x:row>
    <x:row r="18">
      <x:c r="B18" s="62"/>
      <x:c r="C18" s="66"/>
      <x:c r="D18" s="66"/>
      <x:c r="E18" s="66"/>
      <x:c r="F18" s="66"/>
      <x:c r="G18" s="66"/>
      <x:c r="H18" s="24"/>
    </x:row>
    <x:row r="19">
      <x:c r="A19" s="52"/>
      <x:c r="B19" s="70"/>
      <x:c r="C19" s="71"/>
      <x:c r="D19" s="71"/>
      <x:c r="E19" s="71"/>
      <x:c r="F19" s="71"/>
      <x:c r="G19" s="71"/>
      <x:c r="H19" s="46"/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26" t="str">
        <x:v>DCF Valuation — QSR ($mm except per-unit values)</x:v>
      </x:c>
    </x:row>
    <x:row r="3">
      <x:c r="A3" s="30" t="str">
        <x:v>Metric</x:v>
      </x:c>
      <x:c r="B3" s="30" t="str">
        <x:v>2026E</x:v>
      </x:c>
      <x:c r="C3" s="30" t="str">
        <x:v>2027E</x:v>
      </x:c>
      <x:c r="D3" s="30" t="str">
        <x:v>2028E</x:v>
      </x:c>
      <x:c r="E3" s="30" t="str">
        <x:v>2029E</x:v>
      </x:c>
      <x:c r="F3" s="30" t="str">
        <x:v>2030E</x:v>
      </x:c>
      <x:c r="G3" s="30" t="str">
        <x:v>Source / Formula</x:v>
      </x:c>
    </x:row>
    <x:row r="4">
      <x:c r="A4" t="str">
        <x:v>Unlevered FCF</x:v>
      </x:c>
      <x:c r="B4" s="32" t="n">
        <x:f>Forecast_Model!C13</x:f>
        <x:v>1773.2108664</x:v>
      </x:c>
      <x:c r="C4" s="32" t="n">
        <x:f>Forecast_Model!D13</x:f>
        <x:v>1868.357058304</x:v>
      </x:c>
      <x:c r="D4" s="32" t="n">
        <x:f>Forecast_Model!E13</x:f>
        <x:v>1962.4454805429762</x:v>
      </x:c>
      <x:c r="E4" s="32" t="n">
        <x:f>Forecast_Model!F13</x:f>
        <x:v>2077.784642463816</x:v>
      </x:c>
      <x:c r="F4" s="32" t="n">
        <x:f>Forecast_Model!G13</x:f>
        <x:v>2153.7582826440953</x:v>
      </x:c>
      <x:c r="G4" t="str">
        <x:v>From Forecast_Model</x:v>
      </x:c>
    </x:row>
    <x:row r="5">
      <x:c r="A5" t="str">
        <x:v>Discount period</x:v>
      </x:c>
      <x:c r="B5" s="32" t="n">
        <x:v>0.5</x:v>
      </x:c>
      <x:c r="C5" s="32" t="n">
        <x:v>1.5</x:v>
      </x:c>
      <x:c r="D5" s="32" t="n">
        <x:v>2.5</x:v>
      </x:c>
      <x:c r="E5" s="32" t="n">
        <x:v>3.5</x:v>
      </x:c>
      <x:c r="F5" s="32" t="n">
        <x:v>4.5</x:v>
      </x:c>
      <x:c r="G5" t="str">
        <x:v>Mid-year convention</x:v>
      </x:c>
    </x:row>
    <x:row r="6">
      <x:c r="A6" t="str">
        <x:v>Discount factor</x:v>
      </x:c>
      <x:c r="B6" s="56" t="n">
        <x:f>1/(1+Assumptions!B10)^B5</x:f>
        <x:v>0.9600307214746386</x:v>
      </x:c>
      <x:c r="C6" s="56" t="n">
        <x:f>1/(1+Assumptions!B10)^C5</x:f>
        <x:v>0.88482094145128</x:v>
      </x:c>
      <x:c r="D6" s="56" t="n">
        <x:f>1/(1+Assumptions!B10)^D5</x:f>
        <x:v>0.8155031718444976</x:v>
      </x:c>
      <x:c r="E6" s="56" t="n">
        <x:f>1/(1+Assumptions!B10)^E5</x:f>
        <x:v>0.7516158265847905</x:v>
      </x:c>
      <x:c r="F6" s="56" t="n">
        <x:f>1/(1+Assumptions!B10)^F5</x:f>
        <x:v>0.6927334807233092</x:v>
      </x:c>
      <x:c r="G6" t="str">
        <x:v>Formula</x:v>
      </x:c>
    </x:row>
    <x:row r="7">
      <x:c r="A7" t="str">
        <x:v>PV of FCF</x:v>
      </x:c>
      <x:c r="B7" s="32" t="n">
        <x:f>B4*B6</x:f>
        <x:v>1702.336907396661</x:v>
      </x:c>
      <x:c r="C7" s="32" t="n">
        <x:f>C4*C6</x:f>
        <x:v>1653.1614512956894</x:v>
      </x:c>
      <x:c r="D7" s="32" t="n">
        <x:f>D4*D6</x:f>
        <x:v>1600.3805139546964</x:v>
      </x:c>
      <x:c r="E7" s="32" t="n">
        <x:f>E4*E6</x:f>
        <x:v>1561.6958215106245</x:v>
      </x:c>
      <x:c r="F7" s="32" t="n">
        <x:f>F4*F6</x:f>
        <x:v>1491.9804717727009</x:v>
      </x:c>
      <x:c r="G7" t="str">
        <x:v>Formula</x:v>
      </x:c>
    </x:row>
    <x:row r="9">
      <x:c r="A9" s="9" t="str">
        <x:v>Valuation Summary</x:v>
      </x:c>
      <x:c r="B9" s="9" t="str">
        <x:v>Value</x:v>
      </x:c>
      <x:c r="C9" s="9" t="str">
        <x:v>Formula / Source</x:v>
      </x:c>
    </x:row>
    <x:row r="10">
      <x:c r="A10" t="str">
        <x:v>PV of explicit FCF</x:v>
      </x:c>
      <x:c r="B10" s="66" t="n">
        <x:f>SUM(B7:F7)</x:f>
        <x:v>8009.555165930372</x:v>
      </x:c>
      <x:c r="C10" t="str">
        <x:v>Sum of PV of FCF</x:v>
      </x:c>
    </x:row>
    <x:row r="11">
      <x:c r="A11" t="str">
        <x:v>Terminal FCF</x:v>
      </x:c>
      <x:c r="B11" s="66" t="n">
        <x:f>F4*(1+Assumptions!B11)</x:f>
        <x:v>2207.6022397101974</x:v>
      </x:c>
      <x:c r="C11" t="str">
        <x:v>2030E FCF grown by terminal growth</x:v>
      </x:c>
    </x:row>
    <x:row r="12">
      <x:c r="A12" t="str">
        <x:v>Terminal value</x:v>
      </x:c>
      <x:c r="B12" s="66" t="n">
        <x:f>B11/(Assumptions!B10-Assumptions!B11)</x:f>
        <x:v>36793.37066183662</x:v>
      </x:c>
      <x:c r="C12" t="str">
        <x:v>Gordon Growth TV</x:v>
      </x:c>
    </x:row>
    <x:row r="13">
      <x:c r="A13" t="str">
        <x:v>PV of terminal value</x:v>
      </x:c>
      <x:c r="B13" s="66" t="n">
        <x:f>B12*F6</x:f>
        <x:v>25487.999726116966</x:v>
      </x:c>
      <x:c r="C13" t="str">
        <x:v>Discounted terminal value</x:v>
      </x:c>
    </x:row>
    <x:row r="14">
      <x:c r="A14" t="str">
        <x:v>Enterprise value</x:v>
      </x:c>
      <x:c r="B14" s="66" t="n">
        <x:f>B10+B13</x:f>
        <x:v>33497.55489204734</x:v>
      </x:c>
      <x:c r="C14" t="str">
        <x:v>PV of FCF + PV of TV</x:v>
      </x:c>
    </x:row>
    <x:row r="15">
      <x:c r="A15" t="str">
        <x:v>Less: debt + finance leases</x:v>
      </x:c>
      <x:c r="B15" s="66" t="n">
        <x:f>Forecast_Model!B15</x:f>
        <x:v>13579</x:v>
      </x:c>
      <x:c r="C15" t="str">
        <x:v>2025A debt and finance leases</x:v>
      </x:c>
    </x:row>
    <x:row r="16">
      <x:c r="A16" t="str">
        <x:v>Add: cash</x:v>
      </x:c>
      <x:c r="B16" s="66" t="n">
        <x:f>Forecast_Model!B14</x:f>
        <x:v>1163</x:v>
      </x:c>
      <x:c r="C16" t="str">
        <x:v>2025A cash and cash equivalents</x:v>
      </x:c>
    </x:row>
    <x:row r="17">
      <x:c r="A17" t="str">
        <x:v>Equity value</x:v>
      </x:c>
      <x:c r="B17" s="66" t="n">
        <x:f>B14-B15+B16</x:f>
        <x:v>21081.554892047337</x:v>
      </x:c>
      <x:c r="C17" t="str">
        <x:v>EV - debt + cash</x:v>
      </x:c>
    </x:row>
    <x:row r="18">
      <x:c r="A18" t="str">
        <x:v>Diluted units outstanding</x:v>
      </x:c>
      <x:c r="B18" s="66" t="n">
        <x:f>Historical_Financials!D27+Historical_Financials!D28</x:f>
        <x:v>336</x:v>
      </x:c>
      <x:c r="C18" t="str">
        <x:v>Class A + exchangeable WA units</x:v>
      </x:c>
    </x:row>
    <x:row r="19">
      <x:c r="A19" t="str">
        <x:v>Implied value per unit</x:v>
      </x:c>
      <x:c r="B19" s="76" t="n">
        <x:f>B17/B18</x:f>
        <x:v>62.74272289299803</x:v>
      </x:c>
      <x:c r="C19" t="str">
        <x:v>Equity value / diluted units</x:v>
      </x:c>
    </x:row>
    <x:row r="22">
      <x:c r="A22" s="22" t="str">
        <x:v>WACC / Terminal Growth Sensitivity — Implied Value Per Unit</x:v>
      </x:c>
    </x:row>
    <x:row r="23">
      <x:c r="A23" s="30" t="str">
        <x:v>WACC \ g</x:v>
      </x:c>
      <x:c r="B23" s="30" t="str">
        <x:v>1.5%</x:v>
      </x:c>
      <x:c r="C23" s="30" t="str">
        <x:v>2.0%</x:v>
      </x:c>
      <x:c r="D23" s="30" t="str">
        <x:v>2.5%</x:v>
      </x:c>
      <x:c r="E23" s="30" t="str">
        <x:v>3.0%</x:v>
      </x:c>
      <x:c r="F23" s="30" t="str">
        <x:v>3.5%</x:v>
      </x:c>
      <x:c r="G23" s="30" t="str">
        <x:v>4.0%</x:v>
      </x:c>
    </x:row>
    <x:row r="24">
      <x:c r="A24" s="56" t="n">
        <x:v>0.075</x:v>
      </x:c>
      <x:c r="B24" s="74" t="n">
        <x:f>($B$10+($B$11/(0.075-0.015))*$F$6-$B$15+$B$16)/$B$18</x:f>
        <x:v>62.74272289299805</x:v>
      </x:c>
      <x:c r="C24" s="74" t="n">
        <x:f>($B$10+($B$11/(0.075-0.02))*$F$6-$B$15+$B$16)/$B$18</x:f>
        <x:v>69.6388267149994</x:v>
      </x:c>
      <x:c r="D24" s="74" t="n">
        <x:f>($B$10+($B$11/(0.075-0.025))*$F$6-$B$15+$B$16)/$B$18</x:f>
        <x:v>77.914151301401</x:v>
      </x:c>
      <x:c r="E24" s="74" t="n">
        <x:f>($B$10+($B$11/(0.075-0.03))*$F$6-$B$15+$B$16)/$B$18</x:f>
        <x:v>88.02843690700298</x:v>
      </x:c>
      <x:c r="F24" s="74" t="n">
        <x:f>($B$10+($B$11/(0.075-0.035))*$F$6-$B$15+$B$16)/$B$18</x:f>
        <x:v>100.67129391400546</x:v>
      </x:c>
      <x:c r="G24" s="74" t="n">
        <x:f>($B$10+($B$11/(0.075-0.04))*$F$6-$B$15+$B$16)/$B$18</x:f>
        <x:v>116.9263957801515</x:v>
      </x:c>
    </x:row>
    <x:row r="25">
      <x:c r="A25" s="56" t="n">
        <x:v>0.08</x:v>
      </x:c>
      <x:c r="B25" s="74" t="n">
        <x:f>($B$10+($B$11/(0.08-0.015))*$F$6-$B$15+$B$16)/$B$18</x:f>
        <x:v>56.907558120535356</x:v>
      </x:c>
      <x:c r="C25" s="74" t="n">
        <x:f>($B$10+($B$11/(0.08-0.02))*$F$6-$B$15+$B$16)/$B$18</x:f>
        <x:v>62.74272289299805</x:v>
      </x:c>
      <x:c r="D25" s="74" t="n">
        <x:f>($B$10+($B$11/(0.08-0.025))*$F$6-$B$15+$B$16)/$B$18</x:f>
        <x:v>69.6388267149994</x:v>
      </x:c>
      <x:c r="E25" s="74" t="n">
        <x:f>($B$10+($B$11/(0.08-0.03))*$F$6-$B$15+$B$16)/$B$18</x:f>
        <x:v>77.914151301401</x:v>
      </x:c>
      <x:c r="F25" s="74" t="n">
        <x:f>($B$10+($B$11/(0.08-0.035))*$F$6-$B$15+$B$16)/$B$18</x:f>
        <x:v>88.02843690700298</x:v>
      </x:c>
      <x:c r="G25" s="74" t="n">
        <x:f>($B$10+($B$11/(0.08-0.04))*$F$6-$B$15+$B$16)/$B$18</x:f>
        <x:v>100.67129391400543</x:v>
      </x:c>
    </x:row>
    <x:row r="26">
      <x:c r="A26" s="56" t="n">
        <x:v>0.085</x:v>
      </x:c>
      <x:c r="B26" s="74" t="n">
        <x:f>($B$10+($B$11/(0.085-0.015))*$F$6-$B$15+$B$16)/$B$18</x:f>
        <x:v>51.90598831556734</x:v>
      </x:c>
      <x:c r="C26" s="74" t="n">
        <x:f>($B$10+($B$11/(0.085-0.02))*$F$6-$B$15+$B$16)/$B$18</x:f>
        <x:v>56.907558120535356</x:v>
      </x:c>
      <x:c r="D26" s="74" t="n">
        <x:f>($B$10+($B$11/(0.085-0.025))*$F$6-$B$15+$B$16)/$B$18</x:f>
        <x:v>62.74272289299803</x:v>
      </x:c>
      <x:c r="E26" s="74" t="n">
        <x:f>($B$10+($B$11/(0.085-0.03))*$F$6-$B$15+$B$16)/$B$18</x:f>
        <x:v>69.63882671499938</x:v>
      </x:c>
      <x:c r="F26" s="74" t="n">
        <x:f>($B$10+($B$11/(0.085-0.035))*$F$6-$B$15+$B$16)/$B$18</x:f>
        <x:v>77.914151301401</x:v>
      </x:c>
      <x:c r="G26" s="74" t="n">
        <x:f>($B$10+($B$11/(0.085-0.04))*$F$6-$B$15+$B$16)/$B$18</x:f>
        <x:v>88.02843690700298</x:v>
      </x:c>
    </x:row>
    <x:row r="27">
      <x:c r="A27" s="56" t="n">
        <x:v>0.09</x:v>
      </x:c>
      <x:c r="B27" s="74" t="n">
        <x:f>($B$10+($B$11/(0.09-0.015))*$F$6-$B$15+$B$16)/$B$18</x:f>
        <x:v>47.571294484595086</x:v>
      </x:c>
      <x:c r="C27" s="74" t="n">
        <x:f>($B$10+($B$11/(0.09-0.02))*$F$6-$B$15+$B$16)/$B$18</x:f>
        <x:v>51.90598831556737</x:v>
      </x:c>
      <x:c r="D27" s="74" t="n">
        <x:f>($B$10+($B$11/(0.09-0.025))*$F$6-$B$15+$B$16)/$B$18</x:f>
        <x:v>56.907558120535356</x:v>
      </x:c>
      <x:c r="E27" s="74" t="n">
        <x:f>($B$10+($B$11/(0.09-0.03))*$F$6-$B$15+$B$16)/$B$18</x:f>
        <x:v>62.74272289299805</x:v>
      </x:c>
      <x:c r="F27" s="74" t="n">
        <x:f>($B$10+($B$11/(0.09-0.035))*$F$6-$B$15+$B$16)/$B$18</x:f>
        <x:v>69.6388267149994</x:v>
      </x:c>
      <x:c r="G27" s="74" t="n">
        <x:f>($B$10+($B$11/(0.09-0.04))*$F$6-$B$15+$B$16)/$B$18</x:f>
        <x:v>77.914151301401</x:v>
      </x:c>
    </x:row>
    <x:row r="28">
      <x:c r="A28" s="56" t="n">
        <x:v>0.095</x:v>
      </x:c>
      <x:c r="B28" s="74" t="n">
        <x:f>($B$10+($B$11/(0.095-0.015))*$F$6-$B$15+$B$16)/$B$18</x:f>
        <x:v>43.77843738249434</x:v>
      </x:c>
      <x:c r="C28" s="74" t="n">
        <x:f>($B$10+($B$11/(0.095-0.02))*$F$6-$B$15+$B$16)/$B$18</x:f>
        <x:v>47.571294484595086</x:v>
      </x:c>
      <x:c r="D28" s="74" t="n">
        <x:f>($B$10+($B$11/(0.095-0.025))*$F$6-$B$15+$B$16)/$B$18</x:f>
        <x:v>51.90598831556734</x:v>
      </x:c>
      <x:c r="E28" s="74" t="n">
        <x:f>($B$10+($B$11/(0.095-0.03))*$F$6-$B$15+$B$16)/$B$18</x:f>
        <x:v>56.907558120535356</x:v>
      </x:c>
      <x:c r="F28" s="74" t="n">
        <x:f>($B$10+($B$11/(0.095-0.035))*$F$6-$B$15+$B$16)/$B$18</x:f>
        <x:v>62.74272289299805</x:v>
      </x:c>
      <x:c r="G28" s="74" t="n">
        <x:f>($B$10+($B$11/(0.095-0.04))*$F$6-$B$15+$B$16)/$B$18</x:f>
        <x:v>69.6388267149994</x:v>
      </x:c>
    </x:row>
  </x:sheetData>
  <x:mergeCells>
    <x:mergeCell ref="A1:J1"/>
    <x:mergeCell ref="A22:G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s="26" t="str">
        <x:v>Source Map</x:v>
      </x:c>
    </x:row>
    <x:row r="3">
      <x:c r="A3" s="9" t="str">
        <x:v>Source</x:v>
      </x:c>
      <x:c r="B3" s="9" t="str">
        <x:v>Filing / page</x:v>
      </x:c>
      <x:c r="C3" s="9" t="str">
        <x:v>Used for</x:v>
      </x:c>
      <x:c r="D3" s="9" t="str">
        <x:v>URL</x:v>
      </x:c>
      <x:c r="E3" s="9" t="str">
        <x:v>Notes</x:v>
      </x:c>
    </x:row>
    <x:row r="4">
      <x:c r="A4" s="24" t="str">
        <x:v>RBI FY2025 Form 10-K</x:v>
      </x:c>
      <x:c r="B4" s="24" t="str">
        <x:v>Consolidated Statements of Operations</x:v>
      </x:c>
      <x:c r="C4" s="24" t="str">
        <x:v>2023A–2025A income statement actuals</x:v>
      </x:c>
      <x:c r="D4" s="28" t="str">
        <x:v>https://www.sec.gov/Archives/edgar/data/1618755/000161875526000009/qsr-20251231.htm</x:v>
      </x:c>
      <x:c r="E4" s="24" t="str">
        <x:v>Lines 1863–1905</x:v>
      </x:c>
    </x:row>
    <x:row r="5">
      <x:c r="A5" s="24" t="str">
        <x:v>RBI FY2025 Form 10-K</x:v>
      </x:c>
      <x:c r="B5" s="24" t="str">
        <x:v>Consolidated Balance Sheets</x:v>
      </x:c>
      <x:c r="C5" s="24" t="str">
        <x:v>2024A–2025A balance sheet actuals</x:v>
      </x:c>
      <x:c r="D5" s="28" t="str">
        <x:v>https://www.sec.gov/Archives/edgar/data/1618755/000161875526000009/qsr-20251231.htm</x:v>
      </x:c>
      <x:c r="E5" s="24" t="str">
        <x:v>Lines 1797–1849</x:v>
      </x:c>
    </x:row>
    <x:row r="6">
      <x:c r="A6" s="24" t="str">
        <x:v>RBI FY2024 Form 10-K</x:v>
      </x:c>
      <x:c r="B6" s="24" t="str">
        <x:v>Consolidated Balance Sheets</x:v>
      </x:c>
      <x:c r="C6" s="24" t="str">
        <x:v>2023A balance sheet actuals</x:v>
      </x:c>
      <x:c r="D6" s="28" t="str">
        <x:v>https://www.sec.gov/Archives/edgar/data/1618755/000161875525000010/qsr-20241231.htm</x:v>
      </x:c>
      <x:c r="E6" s="24" t="str">
        <x:v>Lines 1895–1943 and 3591–3632</x:v>
      </x:c>
    </x:row>
    <x:row r="7">
      <x:c r="A7" s="24" t="str">
        <x:v>RBI FY2025 Form 10-K</x:v>
      </x:c>
      <x:c r="B7" s="24" t="str">
        <x:v>Consolidated Statements of Cash Flows</x:v>
      </x:c>
      <x:c r="C7" s="24" t="str">
        <x:v>2023A–2025A cash flow actuals</x:v>
      </x:c>
      <x:c r="D7" s="28" t="str">
        <x:v>https://www.sec.gov/Archives/edgar/data/1618755/000161875526000009/qsr-20251231.htm</x:v>
      </x:c>
      <x:c r="E7" s="24" t="str">
        <x:v>Lines 2011–2061</x:v>
      </x:c>
    </x:row>
    <x:row r="8">
      <x:c r="A8" s="24" t="str">
        <x:v>RBI FY2025 Form 10-K</x:v>
      </x:c>
      <x:c r="B8" s="24" t="str">
        <x:v>Segment Results / Revenue Recognition</x:v>
      </x:c>
      <x:c r="C8" s="24" t="str">
        <x:v>2024A–2025A segment and revenue mix detail</x:v>
      </x:c>
      <x:c r="D8" s="28" t="str">
        <x:v>https://www.sec.gov/Archives/edgar/data/1618755/000161875526000009/qsr-20251231.htm</x:v>
      </x:c>
      <x:c r="E8" s="24" t="str">
        <x:v>Lines 1113–1339 and 2498–2519</x:v>
      </x:c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 s="26" t="str">
        <x:v>QA Checks</x:v>
      </x:c>
    </x:row>
    <x:row r="3">
      <x:c r="A3" s="30" t="str">
        <x:v>Check</x:v>
      </x:c>
      <x:c r="B3" s="30" t="str">
        <x:v>2023A</x:v>
      </x:c>
      <x:c r="C3" s="30" t="str">
        <x:v>2024A</x:v>
      </x:c>
      <x:c r="D3" s="30" t="str">
        <x:v>2025A</x:v>
      </x:c>
      <x:c r="E3" s="30" t="str">
        <x:v>Status</x:v>
      </x:c>
    </x:row>
    <x:row r="4">
      <x:c r="A4" t="str">
        <x:v>Revenue tie-out</x:v>
      </x:c>
      <x:c r="B4" s="32" t="n">
        <x:f>Historical_Financials!B8-7022</x:f>
        <x:v>0</x:v>
      </x:c>
      <x:c r="C4" s="32" t="n">
        <x:f>Historical_Financials!C8-8406</x:f>
        <x:v>0</x:v>
      </x:c>
      <x:c r="D4" s="32" t="n">
        <x:f>Historical_Financials!D8-9434</x:f>
        <x:v>0</x:v>
      </x:c>
      <x:c r="E4" s="52" t="str">
        <x:f>IF(SUM(ABS(B4),ABS(C4),ABS(D4))=0,"PASS","FAIL")</x:f>
        <x:v>PASS</x:v>
      </x:c>
    </x:row>
    <x:row r="5">
      <x:c r="A5" t="str">
        <x:v>Operating income tie-out</x:v>
      </x:c>
      <x:c r="B5" s="32" t="n">
        <x:f>Historical_Financials!B17-2051</x:f>
        <x:v>0</x:v>
      </x:c>
      <x:c r="C5" s="32" t="n">
        <x:f>Historical_Financials!C17-2419</x:f>
        <x:v>0</x:v>
      </x:c>
      <x:c r="D5" s="32" t="n">
        <x:f>Historical_Financials!D17-2202</x:f>
        <x:v>0</x:v>
      </x:c>
      <x:c r="E5" s="52" t="str">
        <x:f>IF(SUM(ABS(B5),ABS(C5),ABS(D5))=0,"PASS","FAIL")</x:f>
        <x:v>PASS</x:v>
      </x:c>
    </x:row>
    <x:row r="6">
      <x:c r="A6" t="str">
        <x:v>Net income attributable tie-out</x:v>
      </x:c>
      <x:c r="B6" s="32" t="n">
        <x:f>Historical_Financials!B26-1715</x:f>
        <x:v>0</x:v>
      </x:c>
      <x:c r="C6" s="32" t="n">
        <x:f>Historical_Financials!C26-1442</x:f>
        <x:v>0</x:v>
      </x:c>
      <x:c r="D6" s="32" t="n">
        <x:f>Historical_Financials!D26-1074</x:f>
        <x:v>0</x:v>
      </x:c>
      <x:c r="E6" s="52" t="str">
        <x:f>IF(SUM(ABS(B6),ABS(C6),ABS(D6))=0,"PASS","FAIL")</x:f>
        <x:v>PASS</x:v>
      </x:c>
    </x:row>
    <x:row r="7">
      <x:c r="A7" t="str">
        <x:v>Balance sheet actual check</x:v>
      </x:c>
      <x:c r="B7" s="32" t="n">
        <x:f>Historical_Financials!B42-Historical_Financials!B61</x:f>
        <x:v>0</x:v>
      </x:c>
      <x:c r="C7" s="32" t="n">
        <x:f>Historical_Financials!C42-Historical_Financials!C61</x:f>
        <x:v>0</x:v>
      </x:c>
      <x:c r="D7" s="32" t="n">
        <x:f>Historical_Financials!D42-Historical_Financials!D61</x:f>
        <x:v>0</x:v>
      </x:c>
      <x:c r="E7" s="52" t="str">
        <x:f>IF(SUM(ABS(B7),ABS(C7),ABS(D7))=0,"PASS","FAIL")</x:f>
        <x:v>PASS</x:v>
      </x:c>
    </x:row>
    <x:row r="8">
      <x:c r="A8" t="str">
        <x:v>Cash flow ending cash tie-out</x:v>
      </x:c>
      <x:c r="B8" s="32" t="n">
        <x:f>Historical_Financials!B104-1139</x:f>
        <x:v>0</x:v>
      </x:c>
      <x:c r="C8" s="32" t="n">
        <x:f>Historical_Financials!C104-1334</x:f>
        <x:v>0</x:v>
      </x:c>
      <x:c r="D8" s="32" t="n">
        <x:f>Historical_Financials!D104-1163</x:f>
        <x:v>0</x:v>
      </x:c>
      <x:c r="E8" s="52" t="str">
        <x:f>IF(SUM(ABS(B8),ABS(C8),ABS(D8))=0,"PASS","FAIL")</x:f>
        <x:v>PASS</x:v>
      </x:c>
    </x:row>
    <x:row r="9">
      <x:c r="A9" t="str">
        <x:v>Forecast balance check</x:v>
      </x:c>
      <x:c r="B9" s="32" t="str"/>
      <x:c r="C9" s="32" t="str"/>
      <x:c r="D9" s="32" t="n">
        <x:f>SUM(ABS(Forecast_Model!C17),ABS(Forecast_Model!D17),ABS(Forecast_Model!E17),ABS(Forecast_Model!F17),ABS(Forecast_Model!G17))</x:f>
        <x:v>0</x:v>
      </x:c>
      <x:c r="E9" s="52" t="str">
        <x:f>IF(D9=0,"PASS","FAIL")</x:f>
        <x:v>PASS</x:v>
      </x:c>
    </x:row>
    <x:row r="10">
      <x:c r="A10" t="str">
        <x:v>Formula error scan</x:v>
      </x:c>
      <x:c r="B10" s="32" t="str"/>
      <x:c r="C10" s="32" t="str"/>
      <x:c r="D10" s="32" t="str"/>
      <x:c r="E10" s="52" t="str">
        <x:v>No formula errors in key build ranges at export</x:v>
      </x:c>
    </x:row>
    <x:row r="12">
      <x:c r="A12" s="54" t="str">
        <x:v>Modeling note</x:v>
      </x:c>
      <x:c r="B12" t="str">
        <x:v>Historical actuals are filing-tied. Forecast and DCF are assumption/formula-driven and should be reviewed before external distribution.</x:v>
      </x:c>
      <x:c r="C12" t="str"/>
      <x:c r="D12" t="str"/>
      <x:c r="E12" t="str"/>
    </x:row>
  </x:sheetData>
  <x:mergeCells>
    <x:mergeCell ref="A1:E1"/>
    <x:mergeCell ref="A12:E13"/>
  </x:mergeCells>
  <x:pageMargins left="0.7" right="0.7" top="0.75" bottom="0.75" header="0.3" footer="0.3"/>
</x:worksheet>
</file>