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" sheetId="2" state="visible" r:id="rId4"/>
    <sheet name="Historical Actuals" sheetId="3" state="visible" r:id="rId5"/>
    <sheet name="Segment Detail" sheetId="4" state="visible" r:id="rId6"/>
    <sheet name="Assumptions" sheetId="5" state="visible" r:id="rId7"/>
    <sheet name="Model" sheetId="6" state="visible" r:id="rId8"/>
    <sheet name="DCF" sheetId="7" state="visible" r:id="rId9"/>
    <sheet name="Earnings Quality" sheetId="8" state="visible" r:id="rId10"/>
    <sheet name="QA Checks" sheetId="9" state="visible" r:id="rId11"/>
  </sheets>
  <definedNames>
    <definedName function="false" hidden="false" localSheetId="4" name="_xlnm.Print_Area" vbProcedure="false">Assumptions!$A$1:$G$30</definedName>
    <definedName function="false" hidden="false" localSheetId="0" name="_xlnm.Print_Area" vbProcedure="false">Cover!$A$1:$D$20</definedName>
    <definedName function="false" hidden="false" localSheetId="6" name="_xlnm.Print_Area" vbProcedure="false">DCF!$A$1:$H$33</definedName>
    <definedName function="false" hidden="false" localSheetId="7" name="_xlnm.Print_Area" vbProcedure="false">'Earnings Quality'!$A$1:$F$12</definedName>
    <definedName function="false" hidden="false" localSheetId="2" name="_xlnm.Print_Area" vbProcedure="false">'Historical Actuals'!$A$1:$E$100</definedName>
    <definedName function="false" hidden="false" localSheetId="5" name="_xlnm.Print_Area" vbProcedure="false">Model!$A$1:$I$87</definedName>
    <definedName function="false" hidden="false" localSheetId="8" name="_xlnm.Print_Area" vbProcedure="false">'QA Checks'!$A$1:$E$10</definedName>
    <definedName function="false" hidden="false" localSheetId="3" name="_xlnm.Print_Area" vbProcedure="false">'Segment Detail'!$A$1:$E$37</definedName>
    <definedName function="false" hidden="false" localSheetId="1" name="_xlnm.Print_Area" vbProcedure="false">Sources!$A$1:$F$10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<sst xmlns="http://schemas.openxmlformats.org/spreadsheetml/2006/main" count="622" uniqueCount="334">
  <si>
    <t xml:space="preserve">Uber Technologies, Inc. (NYSE: UBER) — EDGAR-Tied 3-Statement Model &amp; DCF</t>
  </si>
  <si>
    <t xml:space="preserve">Model date</t>
  </si>
  <si>
    <t xml:space="preserve">2026-06-24</t>
  </si>
  <si>
    <t xml:space="preserve">Currency / units</t>
  </si>
  <si>
    <t xml:space="preserve">USD $mm except per-share / share counts noted</t>
  </si>
  <si>
    <t xml:space="preserve">Historical source</t>
  </si>
  <si>
    <t xml:space="preserve">Uber FY2025 10-K and FY2024 10-K filed on EDGAR</t>
  </si>
  <si>
    <t xml:space="preserve">https://www.sec.gov/Archives/edgar/data/1543151/000154315126000015/uber-20251231.htm</t>
  </si>
  <si>
    <t xml:space="preserve">Purpose</t>
  </si>
  <si>
    <t xml:space="preserve">Recruiter-ready modeling foundation: historical actuals tied to EDGAR, forecasts separated as assumptions</t>
  </si>
  <si>
    <t xml:space="preserve">Color convention</t>
  </si>
  <si>
    <t xml:space="preserve">Blue = EDGAR hardcode / assumption; Black = formula; Green = intra-workbook link</t>
  </si>
  <si>
    <t xml:space="preserve">Important note</t>
  </si>
  <si>
    <t xml:space="preserve">Forecast years are assumptions. Historical actuals are filing-tied. QA sheet contains tie-out checks.</t>
  </si>
  <si>
    <t xml:space="preserve">Model contents</t>
  </si>
  <si>
    <t xml:space="preserve">Sources</t>
  </si>
  <si>
    <t xml:space="preserve">EDGAR URLs and source-line map for every historical statement section</t>
  </si>
  <si>
    <t xml:space="preserve">Historical Actuals</t>
  </si>
  <si>
    <t xml:space="preserve">Raw consolidated statements with exact historical hardcodes</t>
  </si>
  <si>
    <t xml:space="preserve">Segment Detail</t>
  </si>
  <si>
    <t xml:space="preserve">Mobility / Delivery / Freight revenue and segment Adj. EBITDA from Note 13</t>
  </si>
  <si>
    <t xml:space="preserve">Assumptions</t>
  </si>
  <si>
    <t xml:space="preserve">Forecast driver assumptions, WACC, terminal growth, and valuation bridge inputs</t>
  </si>
  <si>
    <t xml:space="preserve">Model</t>
  </si>
  <si>
    <t xml:space="preserve">Integrated operating model, cash flow, balance sheet roll-forward, and checks</t>
  </si>
  <si>
    <t xml:space="preserve">DCF</t>
  </si>
  <si>
    <t xml:space="preserve">Unlevered FCF valuation and sensitivity outputs</t>
  </si>
  <si>
    <t xml:space="preserve">Earnings Quality</t>
  </si>
  <si>
    <t xml:space="preserve">Reported vs normalized tax-effect / deferred tax benefit analysis</t>
  </si>
  <si>
    <t xml:space="preserve">QA Checks</t>
  </si>
  <si>
    <t xml:space="preserve">Tie-outs and formula error checkpoints</t>
  </si>
  <si>
    <t xml:space="preserve">Source Map — Uber Technologies, Inc.</t>
  </si>
  <si>
    <t xml:space="preserve">Section</t>
  </si>
  <si>
    <t xml:space="preserve">Statement / Note</t>
  </si>
  <si>
    <t xml:space="preserve">Periods</t>
  </si>
  <si>
    <t xml:space="preserve">Source URL</t>
  </si>
  <si>
    <t xml:space="preserve">Relevant filing lines</t>
  </si>
  <si>
    <t xml:space="preserve">Use in model</t>
  </si>
  <si>
    <t xml:space="preserve">Income Statement</t>
  </si>
  <si>
    <t xml:space="preserve">Consolidated Statements of Operations</t>
  </si>
  <si>
    <t xml:space="preserve">2023A–2025A</t>
  </si>
  <si>
    <t xml:space="preserve">FY2025 10-K lines 2400–2428</t>
  </si>
  <si>
    <t xml:space="preserve">Historical actuals in Historical Actuals and Model</t>
  </si>
  <si>
    <t xml:space="preserve">Balance Sheet</t>
  </si>
  <si>
    <t xml:space="preserve">Consolidated Balance Sheets</t>
  </si>
  <si>
    <t xml:space="preserve">2024A–2025A</t>
  </si>
  <si>
    <t xml:space="preserve">FY2025 10-K lines 2344–2391</t>
  </si>
  <si>
    <t xml:space="preserve">Historical actual balance sheet</t>
  </si>
  <si>
    <t xml:space="preserve">2023A</t>
  </si>
  <si>
    <t xml:space="preserve">https://www.sec.gov/Archives/edgar/data/1543151/000154315125000008/uber-20241231.htm</t>
  </si>
  <si>
    <t xml:space="preserve">FY2024 10-K lines 2363–2410</t>
  </si>
  <si>
    <t xml:space="preserve">2023A historical balance sheet</t>
  </si>
  <si>
    <t xml:space="preserve">Cash Flow</t>
  </si>
  <si>
    <t xml:space="preserve">Consolidated Statements of Cash Flows</t>
  </si>
  <si>
    <t xml:space="preserve">FY2025 10-K lines 2541–2599</t>
  </si>
  <si>
    <t xml:space="preserve">Historical actual cash flow and cash bridge</t>
  </si>
  <si>
    <t xml:space="preserve">Note 13 — Segment Information</t>
  </si>
  <si>
    <t xml:space="preserve">FY2025 10-K lines 3898–4013</t>
  </si>
  <si>
    <t xml:space="preserve">Mobility / Delivery / Freight revenue and segment Adj. EBITDA</t>
  </si>
  <si>
    <t xml:space="preserve">Geographic Revenue</t>
  </si>
  <si>
    <t xml:space="preserve">Note 13 — Geographic Information</t>
  </si>
  <si>
    <t xml:space="preserve">FY2025 10-K lines 4024–4040</t>
  </si>
  <si>
    <t xml:space="preserve">Reference only / source support</t>
  </si>
  <si>
    <t xml:space="preserve">Tax normalization</t>
  </si>
  <si>
    <t xml:space="preserve">Statement of Operations + Cash Flow deferred taxes</t>
  </si>
  <si>
    <t xml:space="preserve">2025A</t>
  </si>
  <si>
    <t xml:space="preserve">FY2025 10-K lines 2417–2419 and 2551–2553</t>
  </si>
  <si>
    <t xml:space="preserve">Earnings quality normalization</t>
  </si>
  <si>
    <t xml:space="preserve">Historical Actuals — Direct from EDGAR ($mm unless noted)</t>
  </si>
  <si>
    <t xml:space="preserve">2024A</t>
  </si>
  <si>
    <t xml:space="preserve">Source</t>
  </si>
  <si>
    <t xml:space="preserve">Revenue</t>
  </si>
  <si>
    <t xml:space="preserve">FY2025 10-K, Consolidated Statements of Operations</t>
  </si>
  <si>
    <t xml:space="preserve">Cost of revenue, excl. D&amp;A</t>
  </si>
  <si>
    <t xml:space="preserve">Operations and support</t>
  </si>
  <si>
    <t xml:space="preserve">FY2025 10-K</t>
  </si>
  <si>
    <t xml:space="preserve">Sales and marketing</t>
  </si>
  <si>
    <t xml:space="preserve">Research and development</t>
  </si>
  <si>
    <t xml:space="preserve">General and administrative</t>
  </si>
  <si>
    <t xml:space="preserve">Depreciation and amortization</t>
  </si>
  <si>
    <t xml:space="preserve">Total costs and expenses</t>
  </si>
  <si>
    <t xml:space="preserve">Income from operations</t>
  </si>
  <si>
    <t xml:space="preserve">Interest expense</t>
  </si>
  <si>
    <t xml:space="preserve">Interest income</t>
  </si>
  <si>
    <t xml:space="preserve">Other income (expense), net</t>
  </si>
  <si>
    <t xml:space="preserve">Income before taxes and equity method</t>
  </si>
  <si>
    <t xml:space="preserve">Provision for (benefit from) income taxes</t>
  </si>
  <si>
    <t xml:space="preserve">Income (loss) from equity method investments</t>
  </si>
  <si>
    <t xml:space="preserve">Net income incl. NCI</t>
  </si>
  <si>
    <t xml:space="preserve">Less: net income attributable to NCI</t>
  </si>
  <si>
    <t xml:space="preserve">Net income attributable to Uber</t>
  </si>
  <si>
    <t xml:space="preserve">Basic EPS</t>
  </si>
  <si>
    <t xml:space="preserve">Diluted EPS</t>
  </si>
  <si>
    <t xml:space="preserve">Basic weighted-average shares (000s)</t>
  </si>
  <si>
    <t xml:space="preserve">Diluted weighted-average shares (000s)</t>
  </si>
  <si>
    <t xml:space="preserve">Cash and cash equivalents</t>
  </si>
  <si>
    <t xml:space="preserve">2023A from FY2024 10-K; 2024A-2025A from FY2025 10-K</t>
  </si>
  <si>
    <t xml:space="preserve">Short-term investments</t>
  </si>
  <si>
    <t xml:space="preserve">EDGAR 10-K</t>
  </si>
  <si>
    <t xml:space="preserve">Restricted cash and cash equivalents, current</t>
  </si>
  <si>
    <t xml:space="preserve">Accounts receivable, net</t>
  </si>
  <si>
    <t xml:space="preserve">Prepaid expenses and other current assets</t>
  </si>
  <si>
    <t xml:space="preserve">Total current assets</t>
  </si>
  <si>
    <t xml:space="preserve">Restricted cash and cash equivalents, non-current</t>
  </si>
  <si>
    <t xml:space="preserve">Restricted investments</t>
  </si>
  <si>
    <t xml:space="preserve">Investments</t>
  </si>
  <si>
    <t xml:space="preserve">Equity method investments</t>
  </si>
  <si>
    <t xml:space="preserve">Property and equipment, net</t>
  </si>
  <si>
    <t xml:space="preserve">Operating lease ROU assets</t>
  </si>
  <si>
    <t xml:space="preserve">Intangible assets, net</t>
  </si>
  <si>
    <t xml:space="preserve">Goodwill</t>
  </si>
  <si>
    <t xml:space="preserve">Deferred tax assets</t>
  </si>
  <si>
    <t xml:space="preserve">Other assets</t>
  </si>
  <si>
    <t xml:space="preserve">Total assets</t>
  </si>
  <si>
    <t xml:space="preserve">Accounts payable</t>
  </si>
  <si>
    <t xml:space="preserve">Short-term insurance reserves</t>
  </si>
  <si>
    <t xml:space="preserve">Operating lease liabilities, current</t>
  </si>
  <si>
    <t xml:space="preserve">Accrued and other current liabilities</t>
  </si>
  <si>
    <t xml:space="preserve">Total current liabilities</t>
  </si>
  <si>
    <t xml:space="preserve">Long-term insurance reserves</t>
  </si>
  <si>
    <t xml:space="preserve">Long-term debt, net of current portion</t>
  </si>
  <si>
    <t xml:space="preserve">Operating lease liabilities, non-current</t>
  </si>
  <si>
    <t xml:space="preserve">Other long-term liabilities</t>
  </si>
  <si>
    <t xml:space="preserve">Total liabilities</t>
  </si>
  <si>
    <t xml:space="preserve">Redeemable non-controlling interests</t>
  </si>
  <si>
    <t xml:space="preserve">Additional paid-in capital</t>
  </si>
  <si>
    <t xml:space="preserve">Accumulated other comprehensive loss</t>
  </si>
  <si>
    <t xml:space="preserve">Accumulated deficit</t>
  </si>
  <si>
    <t xml:space="preserve">Total Uber stockholders' equity</t>
  </si>
  <si>
    <t xml:space="preserve">Non-redeemable non-controlling interests</t>
  </si>
  <si>
    <t xml:space="preserve">Total equity</t>
  </si>
  <si>
    <t xml:space="preserve">Total liabilities, redeemable NCI and equity</t>
  </si>
  <si>
    <t xml:space="preserve">Cash Flow Statement</t>
  </si>
  <si>
    <t xml:space="preserve">FY2025 10-K CFS</t>
  </si>
  <si>
    <t xml:space="preserve">Stock-based compensation</t>
  </si>
  <si>
    <t xml:space="preserve">Deferred income taxes</t>
  </si>
  <si>
    <t xml:space="preserve">Accretion of discounts on marketable debt securities, net</t>
  </si>
  <si>
    <t xml:space="preserve">Unrealized (gain) loss on debt and equity securities, net</t>
  </si>
  <si>
    <t xml:space="preserve">Unrealized foreign currency transactions</t>
  </si>
  <si>
    <t xml:space="preserve">Other</t>
  </si>
  <si>
    <t xml:space="preserve">Accounts receivable</t>
  </si>
  <si>
    <t xml:space="preserve">Prepaid expenses and other assets</t>
  </si>
  <si>
    <t xml:space="preserve">Accrued insurance reserves</t>
  </si>
  <si>
    <t xml:space="preserve">Accrued expenses and other liabilities</t>
  </si>
  <si>
    <t xml:space="preserve">Operating lease liabilities</t>
  </si>
  <si>
    <t xml:space="preserve">Net cash provided by operating activities</t>
  </si>
  <si>
    <t xml:space="preserve">Purchases of property and equipment</t>
  </si>
  <si>
    <t xml:space="preserve">Purchases of non-marketable equity securities</t>
  </si>
  <si>
    <t xml:space="preserve">Purchases of marketable securities</t>
  </si>
  <si>
    <t xml:space="preserve">Proceeds from maturities/sales of marketable securities</t>
  </si>
  <si>
    <t xml:space="preserve">Proceeds from sale of equity method investments</t>
  </si>
  <si>
    <t xml:space="preserve">Acquisition of businesses, net of cash acquired</t>
  </si>
  <si>
    <t xml:space="preserve">Other investing activities</t>
  </si>
  <si>
    <t xml:space="preserve">Net cash used in investing activities</t>
  </si>
  <si>
    <t xml:space="preserve">Issuance of term loan and notes</t>
  </si>
  <si>
    <t xml:space="preserve">Principal repayment on term loan and notes</t>
  </si>
  <si>
    <t xml:space="preserve">Principal payments on finance leases</t>
  </si>
  <si>
    <t xml:space="preserve">ESPP proceeds</t>
  </si>
  <si>
    <t xml:space="preserve">Repurchases of common stock</t>
  </si>
  <si>
    <t xml:space="preserve">Redemption of non-controlling interests</t>
  </si>
  <si>
    <t xml:space="preserve">Other financing activities</t>
  </si>
  <si>
    <t xml:space="preserve">Net cash used in financing activities</t>
  </si>
  <si>
    <t xml:space="preserve">FX effect on cash</t>
  </si>
  <si>
    <t xml:space="preserve">Net increase in cash and restricted cash</t>
  </si>
  <si>
    <t xml:space="preserve">Beginning cash and restricted cash</t>
  </si>
  <si>
    <t xml:space="preserve">Ending cash and restricted cash</t>
  </si>
  <si>
    <t xml:space="preserve">Segment Detail — Note 13 ($mm)</t>
  </si>
  <si>
    <t xml:space="preserve">Revenue by segment</t>
  </si>
  <si>
    <t xml:space="preserve">Mobility revenue</t>
  </si>
  <si>
    <t xml:space="preserve">FY2025 10-K Note 13</t>
  </si>
  <si>
    <t xml:space="preserve">Delivery revenue</t>
  </si>
  <si>
    <t xml:space="preserve">Freight revenue</t>
  </si>
  <si>
    <t xml:space="preserve">Total revenue</t>
  </si>
  <si>
    <t xml:space="preserve">Segment Adj. EBITDA</t>
  </si>
  <si>
    <t xml:space="preserve">Mobility Adj. EBITDA</t>
  </si>
  <si>
    <t xml:space="preserve">Delivery Adj. EBITDA</t>
  </si>
  <si>
    <t xml:space="preserve">Freight Adj. EBITDA</t>
  </si>
  <si>
    <t xml:space="preserve">Total segment Adj. EBITDA</t>
  </si>
  <si>
    <t xml:space="preserve">Segment Direct Transaction Costs</t>
  </si>
  <si>
    <t xml:space="preserve">Mobility direct transaction costs</t>
  </si>
  <si>
    <t xml:space="preserve">Delivery direct transaction costs</t>
  </si>
  <si>
    <t xml:space="preserve">Freight direct transaction costs</t>
  </si>
  <si>
    <t xml:space="preserve">Total direct transaction costs</t>
  </si>
  <si>
    <t xml:space="preserve">Segment Other Costs</t>
  </si>
  <si>
    <t xml:space="preserve">Mobility other costs</t>
  </si>
  <si>
    <t xml:space="preserve">Delivery other costs</t>
  </si>
  <si>
    <t xml:space="preserve">Freight other costs</t>
  </si>
  <si>
    <t xml:space="preserve">Total other costs</t>
  </si>
  <si>
    <t xml:space="preserve">Reconciliation to Income from Operations</t>
  </si>
  <si>
    <t xml:space="preserve">Corporate G&amp;A and Platform R&amp;D</t>
  </si>
  <si>
    <t xml:space="preserve">Stock-based compensation expense</t>
  </si>
  <si>
    <t xml:space="preserve">Legal, non-income tax and regulatory settlements</t>
  </si>
  <si>
    <t xml:space="preserve">Goodwill and asset impairments / loss on sale</t>
  </si>
  <si>
    <t xml:space="preserve">Acquisition, financing and divestiture expenses</t>
  </si>
  <si>
    <t xml:space="preserve">Loss on lease arrangement</t>
  </si>
  <si>
    <t xml:space="preserve">Restructuring and related charges</t>
  </si>
  <si>
    <t xml:space="preserve">Forecast Assumptions — Uber ($mm except %)</t>
  </si>
  <si>
    <t xml:space="preserve">Driver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</si>
  <si>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</si>
  <si>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</si>
  <si>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</si>
  <si>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</si>
  <si>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</si>
  <si>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Comment</t>
  </si>
  <si>
    <t xml:space="preserve">Mobility revenue growth</t>
  </si>
  <si>
    <t xml:space="preserve">Assumption</t>
  </si>
  <si>
    <t xml:space="preserve">Delivery revenue growth</t>
  </si>
  <si>
    <t xml:space="preserve">Freight revenue growth</t>
  </si>
  <si>
    <t xml:space="preserve">Cost of revenue % Revenue</t>
  </si>
  <si>
    <t xml:space="preserve">Operations &amp; support % Revenue</t>
  </si>
  <si>
    <t xml:space="preserve">Sales &amp; marketing % Revenue</t>
  </si>
  <si>
    <t xml:space="preserve">R&amp;D % Revenue</t>
  </si>
  <si>
    <t xml:space="preserve">G&amp;A % Revenue</t>
  </si>
  <si>
    <t xml:space="preserve">D&amp;A % Revenue</t>
  </si>
  <si>
    <t xml:space="preserve">Interest expense % Debt</t>
  </si>
  <si>
    <t xml:space="preserve">Interest income % Cash &amp; ST investments</t>
  </si>
  <si>
    <t xml:space="preserve">Assumption; volatile investment marks excluded</t>
  </si>
  <si>
    <t xml:space="preserve">Normalized tax rate</t>
  </si>
  <si>
    <t xml:space="preserve">Equity method income / (loss)</t>
  </si>
  <si>
    <t xml:space="preserve">NCI income</t>
  </si>
  <si>
    <t xml:space="preserve">SBC % Revenue</t>
  </si>
  <si>
    <t xml:space="preserve">Deferred taxes</t>
  </si>
  <si>
    <t xml:space="preserve">Capex % Revenue</t>
  </si>
  <si>
    <t xml:space="preserve">AR % Revenue</t>
  </si>
  <si>
    <t xml:space="preserve">Prepaids &amp; other current assets % Revenue</t>
  </si>
  <si>
    <t xml:space="preserve">AP % Revenue</t>
  </si>
  <si>
    <t xml:space="preserve">Accrued current liabilities % Revenue</t>
  </si>
  <si>
    <t xml:space="preserve">Debt balance</t>
  </si>
  <si>
    <t xml:space="preserve">Assumption: hold constant; refinancings ignored</t>
  </si>
  <si>
    <t xml:space="preserve">Share repurchases</t>
  </si>
  <si>
    <t xml:space="preserve">Diluted shares (mm)</t>
  </si>
  <si>
    <t xml:space="preserve">WACC</t>
  </si>
  <si>
    <t xml:space="preserve">Valuation assumption</t>
  </si>
  <si>
    <t xml:space="preserve">Terminal growth</t>
  </si>
  <si>
    <t xml:space="preserve">Uber Integrated 3-Statement Model — Historical Actuals EDGAR-Tied / Forecasts Formula-Driven</t>
  </si>
  <si>
    <t xml:space="preserve">$mm except per-share</t>
  </si>
  <si>
    <t xml:space="preserve">Segment Revenue</t>
  </si>
  <si>
    <t xml:space="preserve">Revenue growth</t>
  </si>
  <si>
    <t xml:space="preserve">Gross profit before D&amp;A</t>
  </si>
  <si>
    <t xml:space="preserve">Gross margin before D&amp;A</t>
  </si>
  <si>
    <t xml:space="preserve">Operating margin</t>
  </si>
  <si>
    <t xml:space="preserve">Provision for / (benefit from) income taxes</t>
  </si>
  <si>
    <t xml:space="preserve">D&amp;A add-back</t>
  </si>
  <si>
    <t xml:space="preserve">Other non-cash / investing marks</t>
  </si>
  <si>
    <t xml:space="preserve">Change in AR</t>
  </si>
  <si>
    <t xml:space="preserve">Change in prepaids &amp; other current assets</t>
  </si>
  <si>
    <t xml:space="preserve">Change in accounts payable</t>
  </si>
  <si>
    <t xml:space="preserve">Change in insurance reserves</t>
  </si>
  <si>
    <t xml:space="preserve">Change in accrued liabilities</t>
  </si>
  <si>
    <t xml:space="preserve">Other working capital / lease changes</t>
  </si>
  <si>
    <t xml:space="preserve">Capital expenditures</t>
  </si>
  <si>
    <t xml:space="preserve">Free cash flow</t>
  </si>
  <si>
    <t xml:space="preserve">Restricted cash current</t>
  </si>
  <si>
    <t xml:space="preserve">Prepaids and other current assets</t>
  </si>
  <si>
    <t xml:space="preserve">Restricted cash non-current</t>
  </si>
  <si>
    <t xml:space="preserve">Other assets / balance plug</t>
  </si>
  <si>
    <t xml:space="preserve">Long-term debt</t>
  </si>
  <si>
    <t xml:space="preserve">Share repurchases / other equity activity</t>
  </si>
  <si>
    <t xml:space="preserve">Non-redeemable NCI</t>
  </si>
  <si>
    <t xml:space="preserve">Balance sheet check</t>
  </si>
  <si>
    <t xml:space="preserve">Uber DCF Valuation — Formula-Driven Forecast</t>
  </si>
  <si>
    <t xml:space="preserve">Terminal</t>
  </si>
  <si>
    <t xml:space="preserve">Source / formula</t>
  </si>
  <si>
    <t xml:space="preserve">EBIT</t>
  </si>
  <si>
    <t xml:space="preserve">Tax on EBIT</t>
  </si>
  <si>
    <t xml:space="preserve">EBIT x tax rate</t>
  </si>
  <si>
    <t xml:space="preserve">NOPAT</t>
  </si>
  <si>
    <t xml:space="preserve">EBIT less cash taxes</t>
  </si>
  <si>
    <t xml:space="preserve">D&amp;A</t>
  </si>
  <si>
    <t xml:space="preserve">Capex</t>
  </si>
  <si>
    <t xml:space="preserve">Change in NWC</t>
  </si>
  <si>
    <t xml:space="preserve">Working-capital items</t>
  </si>
  <si>
    <t xml:space="preserve">Unlevered FCF</t>
  </si>
  <si>
    <t xml:space="preserve">NOPAT + D&amp;A - Capex - ΔNWC</t>
  </si>
  <si>
    <t xml:space="preserve">Discount period</t>
  </si>
  <si>
    <t xml:space="preserve">Mid-year convention</t>
  </si>
  <si>
    <t xml:space="preserve">Discount factor</t>
  </si>
  <si>
    <t xml:space="preserve">PV of FCF</t>
  </si>
  <si>
    <t xml:space="preserve">Terminal value</t>
  </si>
  <si>
    <t xml:space="preserve">Gordon growth</t>
  </si>
  <si>
    <t xml:space="preserve">PV of terminal value</t>
  </si>
  <si>
    <t xml:space="preserve">Enterprise value</t>
  </si>
  <si>
    <t xml:space="preserve">Plus: Cash &amp; ST investments</t>
  </si>
  <si>
    <t xml:space="preserve">2025A cash &amp; ST investments</t>
  </si>
  <si>
    <t xml:space="preserve">Less: Debt</t>
  </si>
  <si>
    <t xml:space="preserve">2025A long-term debt</t>
  </si>
  <si>
    <t xml:space="preserve">Equity value</t>
  </si>
  <si>
    <t xml:space="preserve">2025A diluted shares</t>
  </si>
  <si>
    <t xml:space="preserve">Implied value / share</t>
  </si>
  <si>
    <t xml:space="preserve">Sensitivity: Implied Value / Share</t>
  </si>
  <si>
    <t xml:space="preserve">WACC / Terminal g</t>
  </si>
  <si>
    <t xml:space="preserve">2.0%</t>
  </si>
  <si>
    <t xml:space="preserve">2.5%</t>
  </si>
  <si>
    <t xml:space="preserve">3.0%</t>
  </si>
  <si>
    <t xml:space="preserve">3.5%</t>
  </si>
  <si>
    <t xml:space="preserve">4.0%</t>
  </si>
  <si>
    <t xml:space="preserve">7.5%</t>
  </si>
  <si>
    <t xml:space="preserve">8.0%</t>
  </si>
  <si>
    <t xml:space="preserve">8.5%</t>
  </si>
  <si>
    <t xml:space="preserve">9.0%</t>
  </si>
  <si>
    <t xml:space="preserve">9.5%</t>
  </si>
  <si>
    <t xml:space="preserve">Earnings Quality — 2025 Tax Benefit Normalization</t>
  </si>
  <si>
    <t xml:space="preserve">Line</t>
  </si>
  <si>
    <t xml:space="preserve">2025A Reported</t>
  </si>
  <si>
    <t xml:space="preserve">Normalized / Adjusted</t>
  </si>
  <si>
    <t xml:space="preserve">Difference</t>
  </si>
  <si>
    <t xml:space="preserve">Formula / Source</t>
  </si>
  <si>
    <t xml:space="preserve">Interpretation</t>
  </si>
  <si>
    <t xml:space="preserve">FY2025 10-K operations</t>
  </si>
  <si>
    <t xml:space="preserve">Starting point before tax benefit and equity method</t>
  </si>
  <si>
    <t xml:space="preserve">Reported tax provision / (benefit)</t>
  </si>
  <si>
    <t xml:space="preserve">FY2025 10-K; normalized at 21%</t>
  </si>
  <si>
    <t xml:space="preserve">Reverses large deferred tax benefit for earnings-quality view</t>
  </si>
  <si>
    <t xml:space="preserve">Income after normalized taxes</t>
  </si>
  <si>
    <t xml:space="preserve">Formula</t>
  </si>
  <si>
    <t xml:space="preserve">Reported pre-equity after tax includes tax benefit</t>
  </si>
  <si>
    <t xml:space="preserve">Held constant</t>
  </si>
  <si>
    <t xml:space="preserve">Normalized earnings before NCI</t>
  </si>
  <si>
    <t xml:space="preserve">Less: NCI income</t>
  </si>
  <si>
    <t xml:space="preserve">Normalized net income attributable to common holders</t>
  </si>
  <si>
    <t xml:space="preserve">FY2025 10-K / formula</t>
  </si>
  <si>
    <t xml:space="preserve">Normalized EPS excludes one-time tax benefit effect</t>
  </si>
  <si>
    <t xml:space="preserve">QA Checks — Historical Tie-Outs and Model Integrity</t>
  </si>
  <si>
    <t xml:space="preserve">Check</t>
  </si>
  <si>
    <t xml:space="preserve">Status</t>
  </si>
  <si>
    <t xml:space="preserve">Revenue ties to historical actuals</t>
  </si>
  <si>
    <t xml:space="preserve">PASS</t>
  </si>
  <si>
    <t xml:space="preserve">Income from operations ties to historical actuals</t>
  </si>
  <si>
    <t xml:space="preserve">Net income attributable to Uber ties</t>
  </si>
  <si>
    <t xml:space="preserve">Total assets ties to balance sheet</t>
  </si>
  <si>
    <t xml:space="preserve">Total liabilities + RNCI + equity ties</t>
  </si>
  <si>
    <t xml:space="preserve">Cash flow ending cash and restricted cash ties</t>
  </si>
  <si>
    <t xml:space="preserve">Projected BS check</t>
  </si>
  <si>
    <t xml:space="preserve">n/a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</si>
</sst>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[RED]\(#,##0\);\-"/>
    <numFmt numFmtId="166" formatCode="0.0%;[RED]\(0.0%\);\-"/>
    <numFmt numFmtId="167" formatCode="0.00;[RED]\(0.00\);\-"/>
    <numFmt numFmtId="168" formatCode="\$0.00;[RED]&quot;($&quot;0.00\);\-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008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0B1F33"/>
        <bgColor rgb="FF003300"/>
      </patternFill>
    </fill>
    <fill>
      <patternFill patternType="solid">
        <fgColor rgb="FF1F4E78"/>
        <bgColor rgb="FF333333"/>
      </patternFill>
    </fill>
    <fill>
      <patternFill patternType="solid">
        <fgColor rgb="FFE2F0D9"/>
        <bgColor rgb="FFD9EA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1F33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1" width="48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0" hidden="false" customHeight="true" outlineLevel="0" collapsed="false">
      <c r="A2" s="2"/>
      <c r="B2" s="3" t="s">
        <v>0</v>
      </c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true" outlineLevel="0" collapsed="false">
      <c r="A5" s="2"/>
      <c r="B5" s="4" t="s">
        <v>1</v>
      </c>
      <c r="C5" s="5" t="s">
        <v>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/>
      <c r="B6" s="4" t="s">
        <v>3</v>
      </c>
      <c r="C6" s="5" t="s">
        <v>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30" hidden="false" customHeight="true" outlineLevel="0" collapsed="false">
      <c r="A7" s="2"/>
      <c r="B7" s="4" t="s">
        <v>5</v>
      </c>
      <c r="C7" s="5" t="s">
        <v>6</v>
      </c>
      <c r="D7" s="5" t="s">
        <v>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45" hidden="false" customHeight="true" outlineLevel="0" collapsed="false">
      <c r="A8" s="2"/>
      <c r="B8" s="4" t="s">
        <v>8</v>
      </c>
      <c r="C8" s="5" t="s">
        <v>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30" hidden="false" customHeight="true" outlineLevel="0" collapsed="false">
      <c r="A9" s="2"/>
      <c r="B9" s="4" t="s">
        <v>10</v>
      </c>
      <c r="C9" s="5" t="s">
        <v>11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45" hidden="false" customHeight="true" outlineLevel="0" collapsed="false">
      <c r="A10" s="2"/>
      <c r="B10" s="4" t="s">
        <v>12</v>
      </c>
      <c r="C10" s="5" t="s">
        <v>13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/>
      <c r="B12" s="6" t="s">
        <v>14</v>
      </c>
      <c r="C12" s="6"/>
      <c r="D12" s="6"/>
      <c r="E12" s="6"/>
      <c r="F12" s="6"/>
      <c r="G12" s="6"/>
      <c r="H12" s="6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30" hidden="false" customHeight="true" outlineLevel="0" collapsed="false">
      <c r="A13" s="2"/>
      <c r="B13" s="7" t="s">
        <v>15</v>
      </c>
      <c r="C13" s="5" t="s">
        <v>16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30" hidden="false" customHeight="true" outlineLevel="0" collapsed="false">
      <c r="A14" s="2"/>
      <c r="B14" s="7" t="s">
        <v>17</v>
      </c>
      <c r="C14" s="5" t="s">
        <v>18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30" hidden="false" customHeight="true" outlineLevel="0" collapsed="false">
      <c r="A15" s="2"/>
      <c r="B15" s="7" t="s">
        <v>19</v>
      </c>
      <c r="C15" s="5" t="s">
        <v>20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30" hidden="false" customHeight="true" outlineLevel="0" collapsed="false">
      <c r="A16" s="2"/>
      <c r="B16" s="7" t="s">
        <v>21</v>
      </c>
      <c r="C16" s="5" t="s">
        <v>22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30" hidden="false" customHeight="true" outlineLevel="0" collapsed="false">
      <c r="A17" s="2"/>
      <c r="B17" s="7" t="s">
        <v>23</v>
      </c>
      <c r="C17" s="5" t="s">
        <v>24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30" hidden="false" customHeight="true" outlineLevel="0" collapsed="false">
      <c r="A18" s="2"/>
      <c r="B18" s="7" t="s">
        <v>25</v>
      </c>
      <c r="C18" s="5" t="s">
        <v>26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30" hidden="false" customHeight="true" outlineLevel="0" collapsed="false">
      <c r="A19" s="2"/>
      <c r="B19" s="7" t="s">
        <v>27</v>
      </c>
      <c r="C19" s="5" t="s">
        <v>28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/>
      <c r="B20" s="7" t="s">
        <v>29</v>
      </c>
      <c r="C20" s="5" t="s">
        <v>30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B2:H2"/>
    <mergeCell ref="B12:H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8"/>
    <col collapsed="false" customWidth="true" hidden="false" outlineLevel="0" max="3" min="3" style="1" width="13"/>
    <col collapsed="false" customWidth="true" hidden="false" outlineLevel="0" max="6" min="4" style="1" width="48"/>
  </cols>
  <sheetData>
    <row r="1" customFormat="false" ht="18" hidden="false" customHeight="true" outlineLevel="0" collapsed="false">
      <c r="A1" s="8" t="s">
        <v>31</v>
      </c>
      <c r="B1" s="8"/>
      <c r="C1" s="8"/>
      <c r="D1" s="8"/>
      <c r="E1" s="8"/>
      <c r="F1" s="8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9" t="s">
        <v>32</v>
      </c>
      <c r="B3" s="9" t="s">
        <v>33</v>
      </c>
      <c r="C3" s="9" t="s">
        <v>34</v>
      </c>
      <c r="D3" s="9" t="s">
        <v>35</v>
      </c>
      <c r="E3" s="9" t="s">
        <v>36</v>
      </c>
      <c r="F3" s="9" t="s">
        <v>37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30" hidden="false" customHeight="true" outlineLevel="0" collapsed="false">
      <c r="A4" s="2" t="s">
        <v>38</v>
      </c>
      <c r="B4" s="5" t="s">
        <v>39</v>
      </c>
      <c r="C4" s="2" t="s">
        <v>40</v>
      </c>
      <c r="D4" s="5" t="s">
        <v>7</v>
      </c>
      <c r="E4" s="5" t="s">
        <v>41</v>
      </c>
      <c r="F4" s="5" t="s">
        <v>42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0" hidden="false" customHeight="true" outlineLevel="0" collapsed="false">
      <c r="A5" s="2" t="s">
        <v>43</v>
      </c>
      <c r="B5" s="5" t="s">
        <v>44</v>
      </c>
      <c r="C5" s="2" t="s">
        <v>45</v>
      </c>
      <c r="D5" s="5" t="s">
        <v>7</v>
      </c>
      <c r="E5" s="5" t="s">
        <v>46</v>
      </c>
      <c r="F5" s="5" t="s">
        <v>47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30" hidden="false" customHeight="true" outlineLevel="0" collapsed="false">
      <c r="A6" s="2" t="s">
        <v>43</v>
      </c>
      <c r="B6" s="5" t="s">
        <v>44</v>
      </c>
      <c r="C6" s="2" t="s">
        <v>48</v>
      </c>
      <c r="D6" s="5" t="s">
        <v>49</v>
      </c>
      <c r="E6" s="5" t="s">
        <v>50</v>
      </c>
      <c r="F6" s="5" t="s">
        <v>51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30" hidden="false" customHeight="true" outlineLevel="0" collapsed="false">
      <c r="A7" s="2" t="s">
        <v>52</v>
      </c>
      <c r="B7" s="5" t="s">
        <v>53</v>
      </c>
      <c r="C7" s="2" t="s">
        <v>40</v>
      </c>
      <c r="D7" s="5" t="s">
        <v>7</v>
      </c>
      <c r="E7" s="5" t="s">
        <v>54</v>
      </c>
      <c r="F7" s="5" t="s">
        <v>55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30" hidden="false" customHeight="true" outlineLevel="0" collapsed="false">
      <c r="A8" s="2" t="s">
        <v>19</v>
      </c>
      <c r="B8" s="5" t="s">
        <v>56</v>
      </c>
      <c r="C8" s="2" t="s">
        <v>40</v>
      </c>
      <c r="D8" s="5" t="s">
        <v>7</v>
      </c>
      <c r="E8" s="5" t="s">
        <v>57</v>
      </c>
      <c r="F8" s="5" t="s">
        <v>58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30" hidden="false" customHeight="true" outlineLevel="0" collapsed="false">
      <c r="A9" s="2" t="s">
        <v>59</v>
      </c>
      <c r="B9" s="5" t="s">
        <v>60</v>
      </c>
      <c r="C9" s="2" t="s">
        <v>40</v>
      </c>
      <c r="D9" s="5" t="s">
        <v>7</v>
      </c>
      <c r="E9" s="5" t="s">
        <v>61</v>
      </c>
      <c r="F9" s="5" t="s">
        <v>62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30" hidden="false" customHeight="true" outlineLevel="0" collapsed="false">
      <c r="A10" s="2" t="s">
        <v>63</v>
      </c>
      <c r="B10" s="5" t="s">
        <v>64</v>
      </c>
      <c r="C10" s="2" t="s">
        <v>65</v>
      </c>
      <c r="D10" s="5" t="s">
        <v>7</v>
      </c>
      <c r="E10" s="5" t="s">
        <v>66</v>
      </c>
      <c r="F10" s="5" t="s">
        <v>67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0" width="13"/>
    <col collapsed="false" customWidth="true" hidden="false" outlineLevel="0" max="5" min="5" style="1" width="48"/>
  </cols>
  <sheetData>
    <row r="1" customFormat="false" ht="18" hidden="false" customHeight="true" outlineLevel="0" collapsed="false">
      <c r="A1" s="8" t="s">
        <v>68</v>
      </c>
      <c r="B1" s="8"/>
      <c r="C1" s="8"/>
      <c r="D1" s="8"/>
      <c r="E1" s="8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9" t="s">
        <v>38</v>
      </c>
      <c r="B3" s="9" t="s">
        <v>48</v>
      </c>
      <c r="C3" s="9" t="s">
        <v>69</v>
      </c>
      <c r="D3" s="9" t="s">
        <v>65</v>
      </c>
      <c r="E3" s="9" t="s">
        <v>70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30" hidden="false" customHeight="true" outlineLevel="0" collapsed="false">
      <c r="A4" s="2" t="s">
        <v>71</v>
      </c>
      <c r="B4" s="10" t="n">
        <v>37281</v>
      </c>
      <c r="C4" s="10" t="n">
        <v>43978</v>
      </c>
      <c r="D4" s="10" t="n">
        <v>52017</v>
      </c>
      <c r="E4" s="5" t="s">
        <v>72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0" hidden="false" customHeight="true" outlineLevel="0" collapsed="false">
      <c r="A5" s="2" t="s">
        <v>73</v>
      </c>
      <c r="B5" s="10" t="n">
        <v>22457</v>
      </c>
      <c r="C5" s="10" t="n">
        <v>26651</v>
      </c>
      <c r="D5" s="10" t="n">
        <v>31338</v>
      </c>
      <c r="E5" s="5" t="s">
        <v>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 t="s">
        <v>74</v>
      </c>
      <c r="B6" s="10" t="n">
        <v>2689</v>
      </c>
      <c r="C6" s="10" t="n">
        <v>2732</v>
      </c>
      <c r="D6" s="10" t="n">
        <v>2854</v>
      </c>
      <c r="E6" s="5" t="s">
        <v>75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2" t="s">
        <v>76</v>
      </c>
      <c r="B7" s="10" t="n">
        <v>4356</v>
      </c>
      <c r="C7" s="10" t="n">
        <v>4337</v>
      </c>
      <c r="D7" s="10" t="n">
        <v>4898</v>
      </c>
      <c r="E7" s="5" t="s">
        <v>75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2" t="s">
        <v>77</v>
      </c>
      <c r="B8" s="10" t="n">
        <v>3164</v>
      </c>
      <c r="C8" s="10" t="n">
        <v>3109</v>
      </c>
      <c r="D8" s="10" t="n">
        <v>3402</v>
      </c>
      <c r="E8" s="5" t="s">
        <v>75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true" outlineLevel="0" collapsed="false">
      <c r="A9" s="2" t="s">
        <v>78</v>
      </c>
      <c r="B9" s="10" t="n">
        <v>2682</v>
      </c>
      <c r="C9" s="10" t="n">
        <v>3639</v>
      </c>
      <c r="D9" s="10" t="n">
        <v>3241</v>
      </c>
      <c r="E9" s="5" t="s">
        <v>75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true" outlineLevel="0" collapsed="false">
      <c r="A10" s="2" t="s">
        <v>79</v>
      </c>
      <c r="B10" s="10" t="n">
        <v>823</v>
      </c>
      <c r="C10" s="10" t="n">
        <v>711</v>
      </c>
      <c r="D10" s="10" t="n">
        <v>719</v>
      </c>
      <c r="E10" s="5" t="s">
        <v>75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 t="s">
        <v>80</v>
      </c>
      <c r="B11" s="10" t="n">
        <v>36171</v>
      </c>
      <c r="C11" s="10" t="n">
        <v>41179</v>
      </c>
      <c r="D11" s="10" t="n">
        <v>46452</v>
      </c>
      <c r="E11" s="5" t="s">
        <v>75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 t="s">
        <v>81</v>
      </c>
      <c r="B12" s="10" t="n">
        <v>1110</v>
      </c>
      <c r="C12" s="10" t="n">
        <v>2799</v>
      </c>
      <c r="D12" s="10" t="n">
        <v>5565</v>
      </c>
      <c r="E12" s="5" t="s">
        <v>75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 t="s">
        <v>82</v>
      </c>
      <c r="B13" s="10" t="n">
        <v>-633</v>
      </c>
      <c r="C13" s="10" t="n">
        <v>-523</v>
      </c>
      <c r="D13" s="10" t="n">
        <v>-440</v>
      </c>
      <c r="E13" s="5" t="s">
        <v>75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 t="s">
        <v>83</v>
      </c>
      <c r="B14" s="10" t="n">
        <v>484</v>
      </c>
      <c r="C14" s="10" t="n">
        <v>721</v>
      </c>
      <c r="D14" s="10" t="n">
        <v>743</v>
      </c>
      <c r="E14" s="5" t="s">
        <v>75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 t="s">
        <v>84</v>
      </c>
      <c r="B15" s="10" t="n">
        <v>1360</v>
      </c>
      <c r="C15" s="10" t="n">
        <v>1128</v>
      </c>
      <c r="D15" s="10" t="n">
        <v>-68</v>
      </c>
      <c r="E15" s="5" t="s">
        <v>75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 t="s">
        <v>85</v>
      </c>
      <c r="B16" s="10" t="n">
        <v>2321</v>
      </c>
      <c r="C16" s="10" t="n">
        <v>4125</v>
      </c>
      <c r="D16" s="10" t="n">
        <v>5800</v>
      </c>
      <c r="E16" s="5" t="s">
        <v>75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 t="s">
        <v>86</v>
      </c>
      <c r="B17" s="10" t="n">
        <v>213</v>
      </c>
      <c r="C17" s="10" t="n">
        <v>-5758</v>
      </c>
      <c r="D17" s="10" t="n">
        <v>-4346</v>
      </c>
      <c r="E17" s="5" t="s">
        <v>75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 t="s">
        <v>87</v>
      </c>
      <c r="B18" s="10" t="n">
        <v>48</v>
      </c>
      <c r="C18" s="10" t="n">
        <v>-38</v>
      </c>
      <c r="D18" s="10" t="n">
        <v>-53</v>
      </c>
      <c r="E18" s="5" t="s">
        <v>75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2" t="s">
        <v>88</v>
      </c>
      <c r="B19" s="10" t="n">
        <v>2156</v>
      </c>
      <c r="C19" s="10" t="n">
        <v>9845</v>
      </c>
      <c r="D19" s="10" t="n">
        <v>10093</v>
      </c>
      <c r="E19" s="5" t="s">
        <v>75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 t="s">
        <v>89</v>
      </c>
      <c r="B20" s="10" t="n">
        <v>269</v>
      </c>
      <c r="C20" s="10" t="n">
        <v>-11</v>
      </c>
      <c r="D20" s="10" t="n">
        <v>40</v>
      </c>
      <c r="E20" s="5" t="s">
        <v>75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2" t="s">
        <v>90</v>
      </c>
      <c r="B21" s="10" t="n">
        <v>1887</v>
      </c>
      <c r="C21" s="10" t="n">
        <v>9856</v>
      </c>
      <c r="D21" s="10" t="n">
        <v>10053</v>
      </c>
      <c r="E21" s="5" t="s">
        <v>75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 t="s">
        <v>91</v>
      </c>
      <c r="B22" s="10" t="n">
        <v>0.93</v>
      </c>
      <c r="C22" s="10" t="n">
        <v>4.71</v>
      </c>
      <c r="D22" s="10" t="n">
        <v>4.82</v>
      </c>
      <c r="E22" s="5" t="s">
        <v>75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 t="s">
        <v>92</v>
      </c>
      <c r="B23" s="10" t="n">
        <v>0.87</v>
      </c>
      <c r="C23" s="10" t="n">
        <v>4.56</v>
      </c>
      <c r="D23" s="10" t="n">
        <v>4.73</v>
      </c>
      <c r="E23" s="5" t="s">
        <v>75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 t="s">
        <v>93</v>
      </c>
      <c r="B24" s="10" t="n">
        <v>2035651</v>
      </c>
      <c r="C24" s="10" t="n">
        <v>2094602</v>
      </c>
      <c r="D24" s="10" t="n">
        <v>2085253</v>
      </c>
      <c r="E24" s="5" t="s">
        <v>75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 t="s">
        <v>94</v>
      </c>
      <c r="B25" s="10" t="n">
        <v>2091782</v>
      </c>
      <c r="C25" s="10" t="n">
        <v>2150508</v>
      </c>
      <c r="D25" s="10" t="n">
        <v>2119689</v>
      </c>
      <c r="E25" s="5" t="s">
        <v>75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true" outlineLevel="0" collapsed="false">
      <c r="A26" s="2"/>
      <c r="B26" s="11"/>
      <c r="C26" s="11"/>
      <c r="D26" s="11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8" hidden="false" customHeight="true" outlineLevel="0" collapsed="false">
      <c r="A27" s="9" t="s">
        <v>43</v>
      </c>
      <c r="B27" s="12" t="s">
        <v>48</v>
      </c>
      <c r="C27" s="12" t="s">
        <v>69</v>
      </c>
      <c r="D27" s="12" t="s">
        <v>65</v>
      </c>
      <c r="E27" s="9" t="s">
        <v>70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30" hidden="false" customHeight="true" outlineLevel="0" collapsed="false">
      <c r="A28" s="2" t="s">
        <v>95</v>
      </c>
      <c r="B28" s="10" t="n">
        <v>4680</v>
      </c>
      <c r="C28" s="10" t="n">
        <v>5893</v>
      </c>
      <c r="D28" s="10" t="n">
        <v>7105</v>
      </c>
      <c r="E28" s="5" t="s">
        <v>96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true" outlineLevel="0" collapsed="false">
      <c r="A29" s="2" t="s">
        <v>97</v>
      </c>
      <c r="B29" s="10" t="n">
        <v>727</v>
      </c>
      <c r="C29" s="10" t="n">
        <v>1084</v>
      </c>
      <c r="D29" s="10" t="n">
        <v>528</v>
      </c>
      <c r="E29" s="5" t="s">
        <v>98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true" outlineLevel="0" collapsed="false">
      <c r="A30" s="2" t="s">
        <v>99</v>
      </c>
      <c r="B30" s="10" t="n">
        <v>805</v>
      </c>
      <c r="C30" s="10" t="n">
        <v>545</v>
      </c>
      <c r="D30" s="10" t="n">
        <v>631</v>
      </c>
      <c r="E30" s="5" t="s">
        <v>98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true" outlineLevel="0" collapsed="false">
      <c r="A31" s="2" t="s">
        <v>100</v>
      </c>
      <c r="B31" s="10" t="n">
        <v>3404</v>
      </c>
      <c r="C31" s="10" t="n">
        <v>3333</v>
      </c>
      <c r="D31" s="10" t="n">
        <v>3827</v>
      </c>
      <c r="E31" s="5" t="s">
        <v>98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2" t="s">
        <v>101</v>
      </c>
      <c r="B32" s="10" t="n">
        <v>1681</v>
      </c>
      <c r="C32" s="10" t="n">
        <v>1390</v>
      </c>
      <c r="D32" s="10" t="n">
        <v>1902</v>
      </c>
      <c r="E32" s="5" t="s">
        <v>98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2" t="s">
        <v>102</v>
      </c>
      <c r="B33" s="10" t="n">
        <v>11297</v>
      </c>
      <c r="C33" s="10" t="n">
        <v>12245</v>
      </c>
      <c r="D33" s="10" t="n">
        <v>13993</v>
      </c>
      <c r="E33" s="5" t="s">
        <v>98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2" t="s">
        <v>103</v>
      </c>
      <c r="B34" s="10" t="n">
        <v>1519</v>
      </c>
      <c r="C34" s="10" t="n">
        <v>2172</v>
      </c>
      <c r="D34" s="10" t="n">
        <v>1911</v>
      </c>
      <c r="E34" s="5" t="s">
        <v>98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 t="s">
        <v>104</v>
      </c>
      <c r="B35" s="10" t="n">
        <v>4779</v>
      </c>
      <c r="C35" s="10" t="n">
        <v>7019</v>
      </c>
      <c r="D35" s="10" t="n">
        <v>8874</v>
      </c>
      <c r="E35" s="5" t="s">
        <v>98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 t="s">
        <v>105</v>
      </c>
      <c r="B36" s="10" t="n">
        <v>6101</v>
      </c>
      <c r="C36" s="10" t="n">
        <v>8460</v>
      </c>
      <c r="D36" s="10" t="n">
        <v>9178</v>
      </c>
      <c r="E36" s="5" t="s">
        <v>98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 t="s">
        <v>106</v>
      </c>
      <c r="B37" s="10" t="n">
        <v>353</v>
      </c>
      <c r="C37" s="10" t="n">
        <v>302</v>
      </c>
      <c r="D37" s="10" t="n">
        <v>287</v>
      </c>
      <c r="E37" s="5" t="s">
        <v>98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 t="s">
        <v>107</v>
      </c>
      <c r="B38" s="10" t="n">
        <v>2073</v>
      </c>
      <c r="C38" s="10" t="n">
        <v>1952</v>
      </c>
      <c r="D38" s="10" t="n">
        <v>1897</v>
      </c>
      <c r="E38" s="5" t="s">
        <v>98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 t="s">
        <v>108</v>
      </c>
      <c r="B39" s="10" t="n">
        <v>1241</v>
      </c>
      <c r="C39" s="10" t="n">
        <v>1158</v>
      </c>
      <c r="D39" s="10" t="n">
        <v>1114</v>
      </c>
      <c r="E39" s="5" t="s">
        <v>98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 t="s">
        <v>109</v>
      </c>
      <c r="B40" s="10" t="n">
        <v>1425</v>
      </c>
      <c r="C40" s="10" t="n">
        <v>1125</v>
      </c>
      <c r="D40" s="10" t="n">
        <v>1048</v>
      </c>
      <c r="E40" s="5" t="s">
        <v>98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 t="s">
        <v>110</v>
      </c>
      <c r="B41" s="10" t="n">
        <v>8151</v>
      </c>
      <c r="C41" s="10" t="n">
        <v>8066</v>
      </c>
      <c r="D41" s="10" t="n">
        <v>8931</v>
      </c>
      <c r="E41" s="5" t="s">
        <v>98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 t="s">
        <v>111</v>
      </c>
      <c r="B42" s="10" t="n">
        <v>170</v>
      </c>
      <c r="C42" s="10" t="n">
        <v>6171</v>
      </c>
      <c r="D42" s="10" t="n">
        <v>10951</v>
      </c>
      <c r="E42" s="5" t="s">
        <v>98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 t="s">
        <v>112</v>
      </c>
      <c r="B43" s="10" t="n">
        <v>1590</v>
      </c>
      <c r="C43" s="10" t="n">
        <v>2574</v>
      </c>
      <c r="D43" s="10" t="n">
        <v>3618</v>
      </c>
      <c r="E43" s="5" t="s">
        <v>98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 t="s">
        <v>113</v>
      </c>
      <c r="B44" s="10" t="n">
        <v>38699</v>
      </c>
      <c r="C44" s="10" t="n">
        <v>51244</v>
      </c>
      <c r="D44" s="10" t="n">
        <v>61802</v>
      </c>
      <c r="E44" s="5" t="s">
        <v>98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 t="s">
        <v>114</v>
      </c>
      <c r="B45" s="10" t="n">
        <v>790</v>
      </c>
      <c r="C45" s="10" t="n">
        <v>858</v>
      </c>
      <c r="D45" s="10" t="n">
        <v>1013</v>
      </c>
      <c r="E45" s="5" t="s">
        <v>98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2" t="s">
        <v>115</v>
      </c>
      <c r="B46" s="10" t="n">
        <v>2077</v>
      </c>
      <c r="C46" s="10" t="n">
        <v>2754</v>
      </c>
      <c r="D46" s="10" t="n">
        <v>3387</v>
      </c>
      <c r="E46" s="5" t="s">
        <v>98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 t="s">
        <v>116</v>
      </c>
      <c r="B47" s="10" t="n">
        <v>190</v>
      </c>
      <c r="C47" s="10" t="n">
        <v>175</v>
      </c>
      <c r="D47" s="10" t="n">
        <v>169</v>
      </c>
      <c r="E47" s="5" t="s">
        <v>98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2" t="s">
        <v>117</v>
      </c>
      <c r="B48" s="10" t="n">
        <v>6397</v>
      </c>
      <c r="C48" s="10" t="n">
        <v>7689</v>
      </c>
      <c r="D48" s="10" t="n">
        <v>7751</v>
      </c>
      <c r="E48" s="5" t="s">
        <v>98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 t="s">
        <v>118</v>
      </c>
      <c r="B49" s="10" t="n">
        <v>9454</v>
      </c>
      <c r="C49" s="10" t="n">
        <v>11476</v>
      </c>
      <c r="D49" s="10" t="n">
        <v>12320</v>
      </c>
      <c r="E49" s="5" t="s">
        <v>98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true" outlineLevel="0" collapsed="false">
      <c r="A50" s="2" t="s">
        <v>119</v>
      </c>
      <c r="B50" s="10" t="n">
        <v>4909</v>
      </c>
      <c r="C50" s="10" t="n">
        <v>7042</v>
      </c>
      <c r="D50" s="10" t="n">
        <v>9076</v>
      </c>
      <c r="E50" s="5" t="s">
        <v>98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 t="s">
        <v>120</v>
      </c>
      <c r="B51" s="10" t="n">
        <v>9459</v>
      </c>
      <c r="C51" s="10" t="n">
        <v>8347</v>
      </c>
      <c r="D51" s="10" t="n">
        <v>10521</v>
      </c>
      <c r="E51" s="5" t="s">
        <v>98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 t="s">
        <v>121</v>
      </c>
      <c r="B52" s="10" t="n">
        <v>1550</v>
      </c>
      <c r="C52" s="10" t="n">
        <v>1454</v>
      </c>
      <c r="D52" s="10" t="n">
        <v>1390</v>
      </c>
      <c r="E52" s="5" t="s">
        <v>98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 t="s">
        <v>122</v>
      </c>
      <c r="B53" s="10" t="n">
        <v>645</v>
      </c>
      <c r="C53" s="10" t="n">
        <v>449</v>
      </c>
      <c r="D53" s="10" t="n">
        <v>412</v>
      </c>
      <c r="E53" s="5" t="s">
        <v>98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 t="s">
        <v>123</v>
      </c>
      <c r="B54" s="10" t="n">
        <v>26017</v>
      </c>
      <c r="C54" s="10" t="n">
        <v>28768</v>
      </c>
      <c r="D54" s="10" t="n">
        <v>33719</v>
      </c>
      <c r="E54" s="5" t="s">
        <v>98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 t="s">
        <v>124</v>
      </c>
      <c r="B55" s="10" t="n">
        <v>654</v>
      </c>
      <c r="C55" s="10" t="n">
        <v>93</v>
      </c>
      <c r="D55" s="10" t="n">
        <v>165</v>
      </c>
      <c r="E55" s="5" t="s">
        <v>98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 t="s">
        <v>125</v>
      </c>
      <c r="B56" s="10" t="n">
        <v>42264</v>
      </c>
      <c r="C56" s="10" t="n">
        <v>42801</v>
      </c>
      <c r="D56" s="10" t="n">
        <v>38101</v>
      </c>
      <c r="E56" s="5" t="s">
        <v>98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 t="s">
        <v>126</v>
      </c>
      <c r="B57" s="10" t="n">
        <v>-421</v>
      </c>
      <c r="C57" s="10" t="n">
        <v>-517</v>
      </c>
      <c r="D57" s="10" t="n">
        <v>-432</v>
      </c>
      <c r="E57" s="5" t="s">
        <v>98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 t="s">
        <v>127</v>
      </c>
      <c r="B58" s="10" t="n">
        <v>-30594</v>
      </c>
      <c r="C58" s="10" t="n">
        <v>-20726</v>
      </c>
      <c r="D58" s="10" t="n">
        <v>-10628</v>
      </c>
      <c r="E58" s="5" t="s">
        <v>98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 t="s">
        <v>128</v>
      </c>
      <c r="B59" s="10" t="n">
        <v>11249</v>
      </c>
      <c r="C59" s="10" t="n">
        <v>21558</v>
      </c>
      <c r="D59" s="10" t="n">
        <v>27041</v>
      </c>
      <c r="E59" s="5" t="s">
        <v>98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 t="s">
        <v>129</v>
      </c>
      <c r="B60" s="10" t="n">
        <v>779</v>
      </c>
      <c r="C60" s="10" t="n">
        <v>825</v>
      </c>
      <c r="D60" s="10" t="n">
        <v>877</v>
      </c>
      <c r="E60" s="5" t="s">
        <v>98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 t="s">
        <v>130</v>
      </c>
      <c r="B61" s="10" t="n">
        <v>12028</v>
      </c>
      <c r="C61" s="10" t="n">
        <v>22383</v>
      </c>
      <c r="D61" s="10" t="n">
        <v>27918</v>
      </c>
      <c r="E61" s="5" t="s">
        <v>98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 t="s">
        <v>131</v>
      </c>
      <c r="B62" s="10" t="n">
        <v>38699</v>
      </c>
      <c r="C62" s="10" t="n">
        <v>51244</v>
      </c>
      <c r="D62" s="10" t="n">
        <v>61802</v>
      </c>
      <c r="E62" s="5" t="s">
        <v>98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11"/>
      <c r="C63" s="11"/>
      <c r="D63" s="11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8" hidden="false" customHeight="true" outlineLevel="0" collapsed="false">
      <c r="A64" s="9" t="s">
        <v>132</v>
      </c>
      <c r="B64" s="12" t="s">
        <v>48</v>
      </c>
      <c r="C64" s="12" t="s">
        <v>69</v>
      </c>
      <c r="D64" s="12" t="s">
        <v>65</v>
      </c>
      <c r="E64" s="9" t="s">
        <v>70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 t="s">
        <v>88</v>
      </c>
      <c r="B65" s="10" t="n">
        <v>2156</v>
      </c>
      <c r="C65" s="10" t="n">
        <v>9845</v>
      </c>
      <c r="D65" s="10" t="n">
        <v>10093</v>
      </c>
      <c r="E65" s="5" t="s">
        <v>133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 t="s">
        <v>79</v>
      </c>
      <c r="B66" s="10" t="n">
        <v>823</v>
      </c>
      <c r="C66" s="10" t="n">
        <v>737</v>
      </c>
      <c r="D66" s="10" t="n">
        <v>747</v>
      </c>
      <c r="E66" s="5" t="s">
        <v>133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 t="s">
        <v>134</v>
      </c>
      <c r="B67" s="10" t="n">
        <v>1935</v>
      </c>
      <c r="C67" s="10" t="n">
        <v>1796</v>
      </c>
      <c r="D67" s="10" t="n">
        <v>1826</v>
      </c>
      <c r="E67" s="5" t="s">
        <v>133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 t="s">
        <v>135</v>
      </c>
      <c r="B68" s="10" t="n">
        <v>26</v>
      </c>
      <c r="C68" s="10" t="n">
        <v>-6027</v>
      </c>
      <c r="D68" s="10" t="n">
        <v>-4779</v>
      </c>
      <c r="E68" s="5" t="s">
        <v>133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 t="s">
        <v>136</v>
      </c>
      <c r="B69" s="10" t="n">
        <v>-154</v>
      </c>
      <c r="C69" s="10" t="n">
        <v>-251</v>
      </c>
      <c r="D69" s="10" t="n">
        <v>-158</v>
      </c>
      <c r="E69" s="5" t="s">
        <v>133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 t="s">
        <v>137</v>
      </c>
      <c r="B70" s="10" t="n">
        <v>-1610</v>
      </c>
      <c r="C70" s="10" t="n">
        <v>-1832</v>
      </c>
      <c r="D70" s="10" t="n">
        <v>97</v>
      </c>
      <c r="E70" s="5" t="s">
        <v>133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 t="s">
        <v>138</v>
      </c>
      <c r="B71" s="10" t="n">
        <v>138</v>
      </c>
      <c r="C71" s="10" t="n">
        <v>308</v>
      </c>
      <c r="D71" s="10" t="n">
        <v>-120</v>
      </c>
      <c r="E71" s="5" t="s">
        <v>133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 t="s">
        <v>139</v>
      </c>
      <c r="B72" s="10" t="n">
        <v>106</v>
      </c>
      <c r="C72" s="10" t="n">
        <v>187</v>
      </c>
      <c r="D72" s="10" t="n">
        <v>166</v>
      </c>
      <c r="E72" s="5" t="s">
        <v>133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 t="s">
        <v>140</v>
      </c>
      <c r="B73" s="10" t="n">
        <v>-758</v>
      </c>
      <c r="C73" s="10" t="n">
        <v>-142</v>
      </c>
      <c r="D73" s="10" t="n">
        <v>-466</v>
      </c>
      <c r="E73" s="5" t="s">
        <v>133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 t="s">
        <v>141</v>
      </c>
      <c r="B74" s="10" t="n">
        <v>-1462</v>
      </c>
      <c r="C74" s="10" t="n">
        <v>-694</v>
      </c>
      <c r="D74" s="10" t="n">
        <v>-1028</v>
      </c>
      <c r="E74" s="5" t="s">
        <v>133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 t="s">
        <v>108</v>
      </c>
      <c r="B75" s="10" t="n">
        <v>191</v>
      </c>
      <c r="C75" s="10" t="n">
        <v>196</v>
      </c>
      <c r="D75" s="10" t="n">
        <v>177</v>
      </c>
      <c r="E75" s="5" t="s">
        <v>133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 t="s">
        <v>114</v>
      </c>
      <c r="B76" s="10" t="n">
        <v>64</v>
      </c>
      <c r="C76" s="10" t="n">
        <v>86</v>
      </c>
      <c r="D76" s="10" t="n">
        <v>126</v>
      </c>
      <c r="E76" s="5" t="s">
        <v>133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 t="s">
        <v>142</v>
      </c>
      <c r="B77" s="10" t="n">
        <v>2230</v>
      </c>
      <c r="C77" s="10" t="n">
        <v>2819</v>
      </c>
      <c r="D77" s="10" t="n">
        <v>2660</v>
      </c>
      <c r="E77" s="5" t="s">
        <v>133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 t="s">
        <v>143</v>
      </c>
      <c r="B78" s="10" t="n">
        <v>80</v>
      </c>
      <c r="C78" s="10" t="n">
        <v>330</v>
      </c>
      <c r="D78" s="10" t="n">
        <v>967</v>
      </c>
      <c r="E78" s="5" t="s">
        <v>133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 t="s">
        <v>144</v>
      </c>
      <c r="B79" s="10" t="n">
        <v>-180</v>
      </c>
      <c r="C79" s="10" t="n">
        <v>-221</v>
      </c>
      <c r="D79" s="10" t="n">
        <v>-209</v>
      </c>
      <c r="E79" s="5" t="s">
        <v>133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 t="s">
        <v>145</v>
      </c>
      <c r="B80" s="10" t="n">
        <v>3585</v>
      </c>
      <c r="C80" s="10" t="n">
        <v>7137</v>
      </c>
      <c r="D80" s="10" t="n">
        <v>10099</v>
      </c>
      <c r="E80" s="5" t="s">
        <v>133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 t="s">
        <v>146</v>
      </c>
      <c r="B81" s="10" t="n">
        <v>-223</v>
      </c>
      <c r="C81" s="10" t="n">
        <v>-242</v>
      </c>
      <c r="D81" s="10" t="n">
        <v>-336</v>
      </c>
      <c r="E81" s="5" t="s">
        <v>133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 t="s">
        <v>147</v>
      </c>
      <c r="B82" s="10" t="n">
        <v>-52</v>
      </c>
      <c r="C82" s="10" t="n">
        <v>-289</v>
      </c>
      <c r="D82" s="10" t="n">
        <v>-676</v>
      </c>
      <c r="E82" s="5" t="s">
        <v>133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 t="s">
        <v>148</v>
      </c>
      <c r="B83" s="10" t="n">
        <v>-8774</v>
      </c>
      <c r="C83" s="10" t="n">
        <v>-12765</v>
      </c>
      <c r="D83" s="10" t="n">
        <v>-21447</v>
      </c>
      <c r="E83" s="5" t="s">
        <v>133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 t="s">
        <v>149</v>
      </c>
      <c r="B84" s="10" t="n">
        <v>5069</v>
      </c>
      <c r="C84" s="10" t="n">
        <v>10204</v>
      </c>
      <c r="D84" s="10" t="n">
        <v>20046</v>
      </c>
      <c r="E84" s="5" t="s">
        <v>133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 t="s">
        <v>150</v>
      </c>
      <c r="B85" s="10" t="n">
        <v>721</v>
      </c>
      <c r="C85" s="10" t="n">
        <v>17</v>
      </c>
      <c r="D85" s="10" t="n">
        <v>0</v>
      </c>
      <c r="E85" s="5" t="s">
        <v>133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 t="s">
        <v>151</v>
      </c>
      <c r="B86" s="10" t="n">
        <v>0</v>
      </c>
      <c r="C86" s="10" t="n">
        <v>0</v>
      </c>
      <c r="D86" s="10" t="n">
        <v>-815</v>
      </c>
      <c r="E86" s="5" t="s">
        <v>133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 t="s">
        <v>152</v>
      </c>
      <c r="B87" s="10" t="n">
        <v>33</v>
      </c>
      <c r="C87" s="10" t="n">
        <v>-102</v>
      </c>
      <c r="D87" s="10" t="n">
        <v>-336</v>
      </c>
      <c r="E87" s="5" t="s">
        <v>133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 t="s">
        <v>153</v>
      </c>
      <c r="B88" s="10" t="n">
        <v>-3226</v>
      </c>
      <c r="C88" s="10" t="n">
        <v>-3177</v>
      </c>
      <c r="D88" s="10" t="n">
        <v>-3564</v>
      </c>
      <c r="E88" s="5" t="s">
        <v>133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 t="s">
        <v>154</v>
      </c>
      <c r="B89" s="10" t="n">
        <v>2824</v>
      </c>
      <c r="C89" s="10" t="n">
        <v>3972</v>
      </c>
      <c r="D89" s="10" t="n">
        <v>3359</v>
      </c>
      <c r="E89" s="5" t="s">
        <v>133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 t="s">
        <v>155</v>
      </c>
      <c r="B90" s="10" t="n">
        <v>-2675</v>
      </c>
      <c r="C90" s="10" t="n">
        <v>-3986</v>
      </c>
      <c r="D90" s="10" t="n">
        <v>-2350</v>
      </c>
      <c r="E90" s="5" t="s">
        <v>133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 t="s">
        <v>156</v>
      </c>
      <c r="B91" s="10" t="n">
        <v>-171</v>
      </c>
      <c r="C91" s="10" t="n">
        <v>-172</v>
      </c>
      <c r="D91" s="10" t="n">
        <v>-157</v>
      </c>
      <c r="E91" s="5" t="s">
        <v>133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 t="s">
        <v>157</v>
      </c>
      <c r="B92" s="10" t="n">
        <v>130</v>
      </c>
      <c r="C92" s="10" t="n">
        <v>156</v>
      </c>
      <c r="D92" s="10" t="n">
        <v>183</v>
      </c>
      <c r="E92" s="5" t="s">
        <v>133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 t="s">
        <v>158</v>
      </c>
      <c r="B93" s="10" t="n">
        <v>0</v>
      </c>
      <c r="C93" s="10" t="n">
        <v>-1252</v>
      </c>
      <c r="D93" s="10" t="n">
        <v>-6523</v>
      </c>
      <c r="E93" s="5" t="s">
        <v>133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 t="s">
        <v>159</v>
      </c>
      <c r="B94" s="10" t="n">
        <v>0</v>
      </c>
      <c r="C94" s="10" t="n">
        <v>-851</v>
      </c>
      <c r="D94" s="10" t="n">
        <v>-109</v>
      </c>
      <c r="E94" s="5" t="s">
        <v>133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 t="s">
        <v>160</v>
      </c>
      <c r="B95" s="10" t="n">
        <v>-203</v>
      </c>
      <c r="C95" s="10" t="n">
        <v>46</v>
      </c>
      <c r="D95" s="10" t="n">
        <v>-116</v>
      </c>
      <c r="E95" s="5" t="s">
        <v>133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 t="s">
        <v>161</v>
      </c>
      <c r="B96" s="10" t="n">
        <v>-95</v>
      </c>
      <c r="C96" s="10" t="n">
        <v>-2087</v>
      </c>
      <c r="D96" s="10" t="n">
        <v>-5713</v>
      </c>
      <c r="E96" s="5" t="s">
        <v>133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 t="s">
        <v>162</v>
      </c>
      <c r="B97" s="10" t="n">
        <v>63</v>
      </c>
      <c r="C97" s="10" t="n">
        <v>-267</v>
      </c>
      <c r="D97" s="10" t="n">
        <v>215</v>
      </c>
      <c r="E97" s="5" t="s">
        <v>133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 t="s">
        <v>163</v>
      </c>
      <c r="B98" s="10" t="n">
        <v>327</v>
      </c>
      <c r="C98" s="10" t="n">
        <v>1606</v>
      </c>
      <c r="D98" s="10" t="n">
        <v>1037</v>
      </c>
      <c r="E98" s="5" t="s">
        <v>133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 t="s">
        <v>164</v>
      </c>
      <c r="B99" s="10" t="n">
        <v>6677</v>
      </c>
      <c r="C99" s="10" t="n">
        <v>7004</v>
      </c>
      <c r="D99" s="10" t="n">
        <v>8610</v>
      </c>
      <c r="E99" s="5" t="s">
        <v>133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 t="s">
        <v>165</v>
      </c>
      <c r="B100" s="10" t="n">
        <v>7004</v>
      </c>
      <c r="C100" s="10" t="n">
        <v>8610</v>
      </c>
      <c r="D100" s="10" t="n">
        <v>9647</v>
      </c>
      <c r="E100" s="5" t="s">
        <v>133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0" width="13"/>
    <col collapsed="false" customWidth="true" hidden="false" outlineLevel="0" max="5" min="5" style="1" width="20"/>
  </cols>
  <sheetData>
    <row r="1" customFormat="false" ht="18" hidden="false" customHeight="true" outlineLevel="0" collapsed="false">
      <c r="A1" s="8" t="s">
        <v>166</v>
      </c>
      <c r="B1" s="8"/>
      <c r="C1" s="8"/>
      <c r="D1" s="8"/>
      <c r="E1" s="8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9" t="s">
        <v>167</v>
      </c>
      <c r="B3" s="9" t="s">
        <v>48</v>
      </c>
      <c r="C3" s="9" t="s">
        <v>69</v>
      </c>
      <c r="D3" s="9" t="s">
        <v>65</v>
      </c>
      <c r="E3" s="9" t="s">
        <v>70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true" outlineLevel="0" collapsed="false">
      <c r="A4" s="2" t="s">
        <v>168</v>
      </c>
      <c r="B4" s="10" t="n">
        <v>19832</v>
      </c>
      <c r="C4" s="10" t="n">
        <v>25087</v>
      </c>
      <c r="D4" s="10" t="n">
        <v>29670</v>
      </c>
      <c r="E4" s="2" t="s">
        <v>169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true" outlineLevel="0" collapsed="false">
      <c r="A5" s="2" t="s">
        <v>170</v>
      </c>
      <c r="B5" s="10" t="n">
        <v>12204</v>
      </c>
      <c r="C5" s="10" t="n">
        <v>13750</v>
      </c>
      <c r="D5" s="10" t="n">
        <v>17248</v>
      </c>
      <c r="E5" s="2" t="s">
        <v>169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 t="s">
        <v>171</v>
      </c>
      <c r="B6" s="10" t="n">
        <v>5245</v>
      </c>
      <c r="C6" s="10" t="n">
        <v>5141</v>
      </c>
      <c r="D6" s="10" t="n">
        <v>5099</v>
      </c>
      <c r="E6" s="2" t="s">
        <v>169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2" t="s">
        <v>172</v>
      </c>
      <c r="B7" s="10" t="n">
        <v>37281</v>
      </c>
      <c r="C7" s="10" t="n">
        <v>43978</v>
      </c>
      <c r="D7" s="10" t="n">
        <v>52017</v>
      </c>
      <c r="E7" s="2" t="s">
        <v>169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2"/>
      <c r="B8" s="11"/>
      <c r="C8" s="11"/>
      <c r="D8" s="11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8" hidden="false" customHeight="true" outlineLevel="0" collapsed="false">
      <c r="A9" s="9" t="s">
        <v>173</v>
      </c>
      <c r="B9" s="12" t="s">
        <v>48</v>
      </c>
      <c r="C9" s="12" t="s">
        <v>69</v>
      </c>
      <c r="D9" s="12" t="s">
        <v>65</v>
      </c>
      <c r="E9" s="9" t="s">
        <v>70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true" outlineLevel="0" collapsed="false">
      <c r="A10" s="2" t="s">
        <v>174</v>
      </c>
      <c r="B10" s="10" t="n">
        <v>4963</v>
      </c>
      <c r="C10" s="10" t="n">
        <v>6497</v>
      </c>
      <c r="D10" s="10" t="n">
        <v>7899</v>
      </c>
      <c r="E10" s="2" t="s">
        <v>169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 t="s">
        <v>175</v>
      </c>
      <c r="B11" s="10" t="n">
        <v>1506</v>
      </c>
      <c r="C11" s="10" t="n">
        <v>2471</v>
      </c>
      <c r="D11" s="10" t="n">
        <v>3572</v>
      </c>
      <c r="E11" s="2" t="s">
        <v>169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 t="s">
        <v>176</v>
      </c>
      <c r="B12" s="10" t="n">
        <v>-64</v>
      </c>
      <c r="C12" s="10" t="n">
        <v>-74</v>
      </c>
      <c r="D12" s="10" t="n">
        <v>-33</v>
      </c>
      <c r="E12" s="2" t="s">
        <v>169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 t="s">
        <v>177</v>
      </c>
      <c r="B13" s="10" t="n">
        <v>6405</v>
      </c>
      <c r="C13" s="10" t="n">
        <v>8894</v>
      </c>
      <c r="D13" s="10" t="n">
        <v>11438</v>
      </c>
      <c r="E13" s="2" t="s">
        <v>169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/>
      <c r="B14" s="11"/>
      <c r="C14" s="11"/>
      <c r="D14" s="11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8" hidden="false" customHeight="true" outlineLevel="0" collapsed="false">
      <c r="A15" s="9" t="s">
        <v>178</v>
      </c>
      <c r="B15" s="12" t="s">
        <v>48</v>
      </c>
      <c r="C15" s="12" t="s">
        <v>69</v>
      </c>
      <c r="D15" s="12" t="s">
        <v>65</v>
      </c>
      <c r="E15" s="9" t="s">
        <v>70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 t="s">
        <v>179</v>
      </c>
      <c r="B16" s="10" t="n">
        <v>-5130</v>
      </c>
      <c r="C16" s="10" t="n">
        <v>-6884</v>
      </c>
      <c r="D16" s="10" t="n">
        <v>-8683</v>
      </c>
      <c r="E16" s="2" t="s">
        <v>169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 t="s">
        <v>180</v>
      </c>
      <c r="B17" s="10" t="n">
        <v>-5329</v>
      </c>
      <c r="C17" s="10" t="n">
        <v>-5591</v>
      </c>
      <c r="D17" s="10" t="n">
        <v>-7097</v>
      </c>
      <c r="E17" s="2" t="s">
        <v>169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 t="s">
        <v>181</v>
      </c>
      <c r="B18" s="10" t="n">
        <v>-4714</v>
      </c>
      <c r="C18" s="10" t="n">
        <v>-4652</v>
      </c>
      <c r="D18" s="10" t="n">
        <v>-4583</v>
      </c>
      <c r="E18" s="2" t="s">
        <v>169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2" t="s">
        <v>182</v>
      </c>
      <c r="B19" s="10" t="n">
        <v>-15173</v>
      </c>
      <c r="C19" s="10" t="n">
        <v>-17127</v>
      </c>
      <c r="D19" s="10" t="n">
        <v>-20363</v>
      </c>
      <c r="E19" s="2" t="s">
        <v>169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/>
      <c r="B20" s="11"/>
      <c r="C20" s="11"/>
      <c r="D20" s="11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8" hidden="false" customHeight="true" outlineLevel="0" collapsed="false">
      <c r="A21" s="9" t="s">
        <v>183</v>
      </c>
      <c r="B21" s="12" t="s">
        <v>48</v>
      </c>
      <c r="C21" s="12" t="s">
        <v>69</v>
      </c>
      <c r="D21" s="12" t="s">
        <v>65</v>
      </c>
      <c r="E21" s="9" t="s">
        <v>70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 t="s">
        <v>184</v>
      </c>
      <c r="B22" s="10" t="n">
        <v>-9739</v>
      </c>
      <c r="C22" s="10" t="n">
        <v>-11706</v>
      </c>
      <c r="D22" s="10" t="n">
        <v>-13088</v>
      </c>
      <c r="E22" s="2" t="s">
        <v>169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 t="s">
        <v>185</v>
      </c>
      <c r="B23" s="10" t="n">
        <v>-5369</v>
      </c>
      <c r="C23" s="10" t="n">
        <v>-5688</v>
      </c>
      <c r="D23" s="10" t="n">
        <v>-6579</v>
      </c>
      <c r="E23" s="2" t="s">
        <v>169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 t="s">
        <v>186</v>
      </c>
      <c r="B24" s="10" t="n">
        <v>-595</v>
      </c>
      <c r="C24" s="10" t="n">
        <v>-563</v>
      </c>
      <c r="D24" s="10" t="n">
        <v>-549</v>
      </c>
      <c r="E24" s="2" t="s">
        <v>169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 t="s">
        <v>187</v>
      </c>
      <c r="B25" s="10" t="n">
        <v>-15703</v>
      </c>
      <c r="C25" s="10" t="n">
        <v>-17957</v>
      </c>
      <c r="D25" s="10" t="n">
        <v>-20216</v>
      </c>
      <c r="E25" s="2" t="s">
        <v>169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true" outlineLevel="0" collapsed="false">
      <c r="A26" s="2"/>
      <c r="B26" s="11"/>
      <c r="C26" s="11"/>
      <c r="D26" s="11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8" hidden="false" customHeight="true" outlineLevel="0" collapsed="false">
      <c r="A27" s="9" t="s">
        <v>188</v>
      </c>
      <c r="B27" s="12" t="s">
        <v>48</v>
      </c>
      <c r="C27" s="12" t="s">
        <v>69</v>
      </c>
      <c r="D27" s="12" t="s">
        <v>65</v>
      </c>
      <c r="E27" s="9" t="s">
        <v>70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true" outlineLevel="0" collapsed="false">
      <c r="A28" s="2" t="s">
        <v>177</v>
      </c>
      <c r="B28" s="10" t="n">
        <v>6405</v>
      </c>
      <c r="C28" s="10" t="n">
        <v>8894</v>
      </c>
      <c r="D28" s="10" t="n">
        <v>11438</v>
      </c>
      <c r="E28" s="2" t="s">
        <v>169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true" outlineLevel="0" collapsed="false">
      <c r="A29" s="2" t="s">
        <v>189</v>
      </c>
      <c r="B29" s="10" t="n">
        <v>-2353</v>
      </c>
      <c r="C29" s="10" t="n">
        <v>-2410</v>
      </c>
      <c r="D29" s="10" t="n">
        <v>-2708</v>
      </c>
      <c r="E29" s="2" t="s">
        <v>169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true" outlineLevel="0" collapsed="false">
      <c r="A30" s="2" t="s">
        <v>79</v>
      </c>
      <c r="B30" s="10" t="n">
        <v>-823</v>
      </c>
      <c r="C30" s="10" t="n">
        <v>-711</v>
      </c>
      <c r="D30" s="10" t="n">
        <v>-719</v>
      </c>
      <c r="E30" s="2" t="s">
        <v>169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true" outlineLevel="0" collapsed="false">
      <c r="A31" s="2" t="s">
        <v>190</v>
      </c>
      <c r="B31" s="10" t="n">
        <v>-1935</v>
      </c>
      <c r="C31" s="10" t="n">
        <v>-1796</v>
      </c>
      <c r="D31" s="10" t="n">
        <v>-1826</v>
      </c>
      <c r="E31" s="2" t="s">
        <v>169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2" t="s">
        <v>191</v>
      </c>
      <c r="B32" s="10" t="n">
        <v>-9</v>
      </c>
      <c r="C32" s="10" t="n">
        <v>-1123</v>
      </c>
      <c r="D32" s="10" t="n">
        <v>-564</v>
      </c>
      <c r="E32" s="2" t="s">
        <v>169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2" t="s">
        <v>192</v>
      </c>
      <c r="B33" s="10" t="n">
        <v>-84</v>
      </c>
      <c r="C33" s="10" t="n">
        <v>-3</v>
      </c>
      <c r="D33" s="10" t="n">
        <v>-2</v>
      </c>
      <c r="E33" s="2" t="s">
        <v>169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2" t="s">
        <v>193</v>
      </c>
      <c r="B34" s="10" t="n">
        <v>-36</v>
      </c>
      <c r="C34" s="10" t="n">
        <v>-25</v>
      </c>
      <c r="D34" s="10" t="n">
        <v>-43</v>
      </c>
      <c r="E34" s="2" t="s">
        <v>169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 t="s">
        <v>194</v>
      </c>
      <c r="B35" s="10" t="n">
        <v>-4</v>
      </c>
      <c r="C35" s="10" t="n">
        <v>-2</v>
      </c>
      <c r="D35" s="10" t="n">
        <v>-2</v>
      </c>
      <c r="E35" s="2" t="s">
        <v>169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 t="s">
        <v>195</v>
      </c>
      <c r="B36" s="10" t="n">
        <v>-51</v>
      </c>
      <c r="C36" s="10" t="n">
        <v>-25</v>
      </c>
      <c r="D36" s="10" t="n">
        <v>-9</v>
      </c>
      <c r="E36" s="2" t="s">
        <v>169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 t="s">
        <v>81</v>
      </c>
      <c r="B37" s="10" t="n">
        <v>1110</v>
      </c>
      <c r="C37" s="10" t="n">
        <v>2799</v>
      </c>
      <c r="D37" s="10" t="n">
        <v>5565</v>
      </c>
      <c r="E37" s="2" t="s">
        <v>169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6" min="2" style="0" width="13"/>
    <col collapsed="false" customWidth="true" hidden="false" outlineLevel="0" max="7" min="7" style="1" width="48"/>
  </cols>
  <sheetData>
    <row r="1" customFormat="false" ht="18" hidden="false" customHeight="true" outlineLevel="0" collapsed="false">
      <c r="A1" s="8" t="s">
        <v>196</v>
      </c>
      <c r="B1" s="8"/>
      <c r="C1" s="8"/>
      <c r="D1" s="8"/>
      <c r="E1" s="8"/>
      <c r="F1" s="8"/>
      <c r="G1" s="8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9" t="s">
        <v>197</v>
      </c>
      <c r="B3" s="9" t="s">
        <v>198</v>
      </c>
      <c r="C3" s="9" t="s">
        <v>199</v>
      </c>
      <c r="D3" s="9" t="s">
        <v>200</v>
      </c>
      <c r="E3" s="9" t="s">
        <v>201</v>
      </c>
      <c r="F3" s="9" t="s">
        <v>202</v>
      </c>
      <c r="G3" s="9" t="s">
        <v>203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true" outlineLevel="0" collapsed="false">
      <c r="A4" s="2" t="s">
        <v>204</v>
      </c>
      <c r="B4" s="13" t="n">
        <v>0.14</v>
      </c>
      <c r="C4" s="13" t="n">
        <v>0.12</v>
      </c>
      <c r="D4" s="13" t="n">
        <v>0.1</v>
      </c>
      <c r="E4" s="13" t="n">
        <v>0.09</v>
      </c>
      <c r="F4" s="13" t="n">
        <v>0.08</v>
      </c>
      <c r="G4" s="5" t="s">
        <v>205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true" outlineLevel="0" collapsed="false">
      <c r="A5" s="2" t="s">
        <v>206</v>
      </c>
      <c r="B5" s="13" t="n">
        <v>0.2</v>
      </c>
      <c r="C5" s="13" t="n">
        <v>0.17</v>
      </c>
      <c r="D5" s="13" t="n">
        <v>0.15</v>
      </c>
      <c r="E5" s="13" t="n">
        <v>0.13</v>
      </c>
      <c r="F5" s="13" t="n">
        <v>0.11</v>
      </c>
      <c r="G5" s="5" t="s">
        <v>205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 t="s">
        <v>207</v>
      </c>
      <c r="B6" s="13" t="n">
        <v>0</v>
      </c>
      <c r="C6" s="13" t="n">
        <v>0.02</v>
      </c>
      <c r="D6" s="13" t="n">
        <v>0.03</v>
      </c>
      <c r="E6" s="13" t="n">
        <v>0.03</v>
      </c>
      <c r="F6" s="13" t="n">
        <v>0.03</v>
      </c>
      <c r="G6" s="5" t="s">
        <v>205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2" t="s">
        <v>208</v>
      </c>
      <c r="B7" s="13" t="n">
        <v>0.598</v>
      </c>
      <c r="C7" s="13" t="n">
        <v>0.592</v>
      </c>
      <c r="D7" s="13" t="n">
        <v>0.586</v>
      </c>
      <c r="E7" s="13" t="n">
        <v>0.58</v>
      </c>
      <c r="F7" s="13" t="n">
        <v>0.575</v>
      </c>
      <c r="G7" s="5" t="s">
        <v>205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2" t="s">
        <v>209</v>
      </c>
      <c r="B8" s="13" t="n">
        <v>0.052</v>
      </c>
      <c r="C8" s="13" t="n">
        <v>0.051</v>
      </c>
      <c r="D8" s="13" t="n">
        <v>0.05</v>
      </c>
      <c r="E8" s="13" t="n">
        <v>0.049</v>
      </c>
      <c r="F8" s="13" t="n">
        <v>0.048</v>
      </c>
      <c r="G8" s="5" t="s">
        <v>205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true" outlineLevel="0" collapsed="false">
      <c r="A9" s="2" t="s">
        <v>210</v>
      </c>
      <c r="B9" s="13" t="n">
        <v>0.092</v>
      </c>
      <c r="C9" s="13" t="n">
        <v>0.09</v>
      </c>
      <c r="D9" s="13" t="n">
        <v>0.088</v>
      </c>
      <c r="E9" s="13" t="n">
        <v>0.086</v>
      </c>
      <c r="F9" s="13" t="n">
        <v>0.084</v>
      </c>
      <c r="G9" s="5" t="s">
        <v>205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true" outlineLevel="0" collapsed="false">
      <c r="A10" s="2" t="s">
        <v>211</v>
      </c>
      <c r="B10" s="13" t="n">
        <v>0.064</v>
      </c>
      <c r="C10" s="13" t="n">
        <v>0.063</v>
      </c>
      <c r="D10" s="13" t="n">
        <v>0.062</v>
      </c>
      <c r="E10" s="13" t="n">
        <v>0.061</v>
      </c>
      <c r="F10" s="13" t="n">
        <v>0.06</v>
      </c>
      <c r="G10" s="5" t="s">
        <v>205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 t="s">
        <v>212</v>
      </c>
      <c r="B11" s="13" t="n">
        <v>0.06</v>
      </c>
      <c r="C11" s="13" t="n">
        <v>0.058</v>
      </c>
      <c r="D11" s="13" t="n">
        <v>0.056</v>
      </c>
      <c r="E11" s="13" t="n">
        <v>0.055</v>
      </c>
      <c r="F11" s="13" t="n">
        <v>0.054</v>
      </c>
      <c r="G11" s="5" t="s">
        <v>205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 t="s">
        <v>213</v>
      </c>
      <c r="B12" s="13" t="n">
        <v>0.0135</v>
      </c>
      <c r="C12" s="13" t="n">
        <v>0.0133</v>
      </c>
      <c r="D12" s="13" t="n">
        <v>0.013</v>
      </c>
      <c r="E12" s="13" t="n">
        <v>0.0128</v>
      </c>
      <c r="F12" s="13" t="n">
        <v>0.0125</v>
      </c>
      <c r="G12" s="5" t="s">
        <v>205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 t="s">
        <v>214</v>
      </c>
      <c r="B13" s="13" t="n">
        <v>0.042</v>
      </c>
      <c r="C13" s="13" t="n">
        <v>0.042</v>
      </c>
      <c r="D13" s="13" t="n">
        <v>0.042</v>
      </c>
      <c r="E13" s="13" t="n">
        <v>0.042</v>
      </c>
      <c r="F13" s="13" t="n">
        <v>0.042</v>
      </c>
      <c r="G13" s="5" t="s">
        <v>205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 t="s">
        <v>215</v>
      </c>
      <c r="B14" s="13" t="n">
        <v>0.045</v>
      </c>
      <c r="C14" s="13" t="n">
        <v>0.043</v>
      </c>
      <c r="D14" s="13" t="n">
        <v>0.04</v>
      </c>
      <c r="E14" s="13" t="n">
        <v>0.038</v>
      </c>
      <c r="F14" s="13" t="n">
        <v>0.035</v>
      </c>
      <c r="G14" s="5" t="s">
        <v>205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 t="s">
        <v>84</v>
      </c>
      <c r="B15" s="13" t="n">
        <v>0</v>
      </c>
      <c r="C15" s="13" t="n">
        <v>0</v>
      </c>
      <c r="D15" s="13" t="n">
        <v>0</v>
      </c>
      <c r="E15" s="13" t="n">
        <v>0</v>
      </c>
      <c r="F15" s="13" t="n">
        <v>0</v>
      </c>
      <c r="G15" s="5" t="s">
        <v>216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 t="s">
        <v>217</v>
      </c>
      <c r="B16" s="13" t="n">
        <v>0.21</v>
      </c>
      <c r="C16" s="13" t="n">
        <v>0.21</v>
      </c>
      <c r="D16" s="13" t="n">
        <v>0.21</v>
      </c>
      <c r="E16" s="13" t="n">
        <v>0.21</v>
      </c>
      <c r="F16" s="13" t="n">
        <v>0.21</v>
      </c>
      <c r="G16" s="5" t="s">
        <v>205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 t="s">
        <v>218</v>
      </c>
      <c r="B17" s="13" t="n">
        <v>0</v>
      </c>
      <c r="C17" s="13" t="n">
        <v>0</v>
      </c>
      <c r="D17" s="13" t="n">
        <v>0</v>
      </c>
      <c r="E17" s="13" t="n">
        <v>0</v>
      </c>
      <c r="F17" s="13" t="n">
        <v>0</v>
      </c>
      <c r="G17" s="5" t="s">
        <v>205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 t="s">
        <v>219</v>
      </c>
      <c r="B18" s="13" t="n">
        <v>50</v>
      </c>
      <c r="C18" s="13" t="n">
        <v>55</v>
      </c>
      <c r="D18" s="13" t="n">
        <v>60</v>
      </c>
      <c r="E18" s="13" t="n">
        <v>65</v>
      </c>
      <c r="F18" s="13" t="n">
        <v>70</v>
      </c>
      <c r="G18" s="5" t="s">
        <v>205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2" t="s">
        <v>220</v>
      </c>
      <c r="B19" s="13" t="n">
        <v>0.033</v>
      </c>
      <c r="C19" s="13" t="n">
        <v>0.031</v>
      </c>
      <c r="D19" s="13" t="n">
        <v>0.029</v>
      </c>
      <c r="E19" s="13" t="n">
        <v>0.027</v>
      </c>
      <c r="F19" s="13" t="n">
        <v>0.025</v>
      </c>
      <c r="G19" s="5" t="s">
        <v>205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 t="s">
        <v>221</v>
      </c>
      <c r="B20" s="13" t="n">
        <v>0</v>
      </c>
      <c r="C20" s="13" t="n">
        <v>0</v>
      </c>
      <c r="D20" s="13" t="n">
        <v>0</v>
      </c>
      <c r="E20" s="13" t="n">
        <v>0</v>
      </c>
      <c r="F20" s="13" t="n">
        <v>0</v>
      </c>
      <c r="G20" s="5" t="s">
        <v>205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2" t="s">
        <v>222</v>
      </c>
      <c r="B21" s="13" t="n">
        <v>0.008</v>
      </c>
      <c r="C21" s="13" t="n">
        <v>0.008</v>
      </c>
      <c r="D21" s="13" t="n">
        <v>0.008</v>
      </c>
      <c r="E21" s="13" t="n">
        <v>0.008</v>
      </c>
      <c r="F21" s="13" t="n">
        <v>0.008</v>
      </c>
      <c r="G21" s="5" t="s">
        <v>205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 t="s">
        <v>223</v>
      </c>
      <c r="B22" s="13" t="n">
        <v>0.073</v>
      </c>
      <c r="C22" s="13" t="n">
        <v>0.073</v>
      </c>
      <c r="D22" s="13" t="n">
        <v>0.073</v>
      </c>
      <c r="E22" s="13" t="n">
        <v>0.073</v>
      </c>
      <c r="F22" s="13" t="n">
        <v>0.073</v>
      </c>
      <c r="G22" s="5" t="s">
        <v>205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 t="s">
        <v>224</v>
      </c>
      <c r="B23" s="13" t="n">
        <v>0.037</v>
      </c>
      <c r="C23" s="13" t="n">
        <v>0.037</v>
      </c>
      <c r="D23" s="13" t="n">
        <v>0.037</v>
      </c>
      <c r="E23" s="13" t="n">
        <v>0.037</v>
      </c>
      <c r="F23" s="13" t="n">
        <v>0.037</v>
      </c>
      <c r="G23" s="5" t="s">
        <v>205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 t="s">
        <v>225</v>
      </c>
      <c r="B24" s="13" t="n">
        <v>0.019</v>
      </c>
      <c r="C24" s="13" t="n">
        <v>0.019</v>
      </c>
      <c r="D24" s="13" t="n">
        <v>0.019</v>
      </c>
      <c r="E24" s="13" t="n">
        <v>0.019</v>
      </c>
      <c r="F24" s="13" t="n">
        <v>0.019</v>
      </c>
      <c r="G24" s="5" t="s">
        <v>205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 t="s">
        <v>226</v>
      </c>
      <c r="B25" s="14" t="n">
        <v>0.149</v>
      </c>
      <c r="C25" s="14" t="n">
        <v>0.148</v>
      </c>
      <c r="D25" s="14" t="n">
        <v>0.147</v>
      </c>
      <c r="E25" s="14" t="n">
        <v>0.146</v>
      </c>
      <c r="F25" s="14" t="n">
        <v>0.145</v>
      </c>
      <c r="G25" s="5" t="s">
        <v>205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30" hidden="false" customHeight="true" outlineLevel="0" collapsed="false">
      <c r="A26" s="2" t="s">
        <v>227</v>
      </c>
      <c r="B26" s="10" t="n">
        <v>10521</v>
      </c>
      <c r="C26" s="10" t="n">
        <v>10521</v>
      </c>
      <c r="D26" s="10" t="n">
        <v>10521</v>
      </c>
      <c r="E26" s="10" t="n">
        <v>10521</v>
      </c>
      <c r="F26" s="10" t="n">
        <v>10521</v>
      </c>
      <c r="G26" s="5" t="s">
        <v>228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true" outlineLevel="0" collapsed="false">
      <c r="A27" s="2" t="s">
        <v>229</v>
      </c>
      <c r="B27" s="10" t="n">
        <v>2000</v>
      </c>
      <c r="C27" s="10" t="n">
        <v>2500</v>
      </c>
      <c r="D27" s="10" t="n">
        <v>3000</v>
      </c>
      <c r="E27" s="10" t="n">
        <v>3500</v>
      </c>
      <c r="F27" s="10" t="n">
        <v>4000</v>
      </c>
      <c r="G27" s="5" t="s">
        <v>205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true" outlineLevel="0" collapsed="false">
      <c r="A28" s="2" t="s">
        <v>230</v>
      </c>
      <c r="B28" s="13" t="n">
        <v>2080</v>
      </c>
      <c r="C28" s="13" t="n">
        <v>2050</v>
      </c>
      <c r="D28" s="13" t="n">
        <v>2020</v>
      </c>
      <c r="E28" s="13" t="n">
        <v>1990</v>
      </c>
      <c r="F28" s="13" t="n">
        <v>1960</v>
      </c>
      <c r="G28" s="5" t="s">
        <v>205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true" outlineLevel="0" collapsed="false">
      <c r="A29" s="2" t="s">
        <v>231</v>
      </c>
      <c r="B29" s="13" t="n">
        <v>0.085</v>
      </c>
      <c r="C29" s="13" t="n">
        <v>0.085</v>
      </c>
      <c r="D29" s="13" t="n">
        <v>0.085</v>
      </c>
      <c r="E29" s="13" t="n">
        <v>0.085</v>
      </c>
      <c r="F29" s="13" t="n">
        <v>0.085</v>
      </c>
      <c r="G29" s="5" t="s">
        <v>232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true" outlineLevel="0" collapsed="false">
      <c r="A30" s="2" t="s">
        <v>233</v>
      </c>
      <c r="B30" s="13" t="n">
        <v>0.03</v>
      </c>
      <c r="C30" s="13" t="n">
        <v>0.03</v>
      </c>
      <c r="D30" s="13" t="n">
        <v>0.03</v>
      </c>
      <c r="E30" s="13" t="n">
        <v>0.03</v>
      </c>
      <c r="F30" s="13" t="n">
        <v>0.03</v>
      </c>
      <c r="G30" s="5" t="s">
        <v>232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9" min="2" style="1" width="13"/>
  </cols>
  <sheetData>
    <row r="1" customFormat="false" ht="18" hidden="false" customHeight="true" outlineLevel="0" collapsed="false">
      <c r="A1" s="8" t="s">
        <v>234</v>
      </c>
      <c r="B1" s="8"/>
      <c r="C1" s="8"/>
      <c r="D1" s="8"/>
      <c r="E1" s="8"/>
      <c r="F1" s="8"/>
      <c r="G1" s="8"/>
      <c r="H1" s="8"/>
      <c r="I1" s="8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9" t="s">
        <v>235</v>
      </c>
      <c r="B3" s="9" t="s">
        <v>48</v>
      </c>
      <c r="C3" s="9" t="s">
        <v>69</v>
      </c>
      <c r="D3" s="9" t="s">
        <v>65</v>
      </c>
      <c r="E3" s="9" t="s">
        <v>198</v>
      </c>
      <c r="F3" s="9" t="s">
        <v>199</v>
      </c>
      <c r="G3" s="9" t="s">
        <v>200</v>
      </c>
      <c r="H3" s="9" t="s">
        <v>201</v>
      </c>
      <c r="I3" s="9" t="s">
        <v>202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8" hidden="false" customHeight="true" outlineLevel="0" collapsed="false">
      <c r="A4" s="15" t="s">
        <v>236</v>
      </c>
      <c r="B4" s="15"/>
      <c r="C4" s="15"/>
      <c r="D4" s="15"/>
      <c r="E4" s="15"/>
      <c r="F4" s="15"/>
      <c r="G4" s="15"/>
      <c r="H4" s="15"/>
      <c r="I4" s="15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true" outlineLevel="0" collapsed="false">
      <c r="A5" s="2" t="s">
        <v>168</v>
      </c>
      <c r="B5" s="10" t="n">
        <v>19832</v>
      </c>
      <c r="C5" s="10" t="n">
        <v>25087</v>
      </c>
      <c r="D5" s="10" t="n">
        <v>29670</v>
      </c>
      <c r="E5" s="16" t="n">
        <f aca="false">D5*(1+Assumptions!B4)</f>
        <v>33823.8</v>
      </c>
      <c r="F5" s="16" t="n">
        <f aca="false">E5*(1+Assumptions!C4)</f>
        <v>37882.656</v>
      </c>
      <c r="G5" s="16" t="n">
        <f aca="false">F5*(1+Assumptions!D4)</f>
        <v>41670.9216</v>
      </c>
      <c r="H5" s="16" t="n">
        <f aca="false">G5*(1+Assumptions!E4)</f>
        <v>45421.304544</v>
      </c>
      <c r="I5" s="16" t="n">
        <f aca="false">H5*(1+Assumptions!F4)</f>
        <v>49055.00890752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 t="s">
        <v>170</v>
      </c>
      <c r="B6" s="10" t="n">
        <v>12204</v>
      </c>
      <c r="C6" s="10" t="n">
        <v>13750</v>
      </c>
      <c r="D6" s="10" t="n">
        <v>17248</v>
      </c>
      <c r="E6" s="16" t="n">
        <f aca="false">D6*(1+Assumptions!B5)</f>
        <v>20697.6</v>
      </c>
      <c r="F6" s="16" t="n">
        <f aca="false">E6*(1+Assumptions!C5)</f>
        <v>24216.192</v>
      </c>
      <c r="G6" s="16" t="n">
        <f aca="false">F6*(1+Assumptions!D5)</f>
        <v>27848.6208</v>
      </c>
      <c r="H6" s="16" t="n">
        <f aca="false">G6*(1+Assumptions!E5)</f>
        <v>31468.941504</v>
      </c>
      <c r="I6" s="16" t="n">
        <f aca="false">H6*(1+Assumptions!F5)</f>
        <v>34930.52506944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2" t="s">
        <v>171</v>
      </c>
      <c r="B7" s="10" t="n">
        <v>5245</v>
      </c>
      <c r="C7" s="10" t="n">
        <v>5141</v>
      </c>
      <c r="D7" s="10" t="n">
        <v>5099</v>
      </c>
      <c r="E7" s="16" t="n">
        <f aca="false">D7*(1+Assumptions!B6)</f>
        <v>5099</v>
      </c>
      <c r="F7" s="16" t="n">
        <f aca="false">E7*(1+Assumptions!C6)</f>
        <v>5200.98</v>
      </c>
      <c r="G7" s="16" t="n">
        <f aca="false">F7*(1+Assumptions!D6)</f>
        <v>5357.0094</v>
      </c>
      <c r="H7" s="16" t="n">
        <f aca="false">G7*(1+Assumptions!E6)</f>
        <v>5517.719682</v>
      </c>
      <c r="I7" s="16" t="n">
        <f aca="false">H7*(1+Assumptions!F6)</f>
        <v>5683.25127246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17" t="s">
        <v>71</v>
      </c>
      <c r="B8" s="18" t="n">
        <v>37281</v>
      </c>
      <c r="C8" s="18" t="n">
        <v>43978</v>
      </c>
      <c r="D8" s="18" t="n">
        <v>52017</v>
      </c>
      <c r="E8" s="19" t="n">
        <f aca="false">SUM(E5:E7)</f>
        <v>59620.4</v>
      </c>
      <c r="F8" s="19" t="n">
        <f aca="false">SUM(F5:F7)</f>
        <v>67299.828</v>
      </c>
      <c r="G8" s="19" t="n">
        <f aca="false">SUM(G5:G7)</f>
        <v>74876.5518</v>
      </c>
      <c r="H8" s="19" t="n">
        <f aca="false">SUM(H5:H7)</f>
        <v>82407.96573</v>
      </c>
      <c r="I8" s="19" t="n">
        <f aca="false">SUM(I5:I7)</f>
        <v>89668.78524942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true" outlineLevel="0" collapsed="false">
      <c r="A9" s="2" t="s">
        <v>237</v>
      </c>
      <c r="B9" s="20"/>
      <c r="C9" s="20" t="n">
        <f aca="false">C8/B8-1</f>
        <v>0.179635739384673</v>
      </c>
      <c r="D9" s="20" t="n">
        <f aca="false">D8/C8-1</f>
        <v>0.182795943426259</v>
      </c>
      <c r="E9" s="21" t="n">
        <f aca="false">E8/D8-1</f>
        <v>0.146171443951016</v>
      </c>
      <c r="F9" s="21" t="n">
        <f aca="false">F8/E8-1</f>
        <v>0.128805375341326</v>
      </c>
      <c r="G9" s="21" t="n">
        <f aca="false">G8/F8-1</f>
        <v>0.112581622051099</v>
      </c>
      <c r="H9" s="21" t="n">
        <f aca="false">H8/G8-1</f>
        <v>0.100584411928008</v>
      </c>
      <c r="I9" s="21" t="n">
        <f aca="false">I8/H8-1</f>
        <v>0.0881082241880504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8" hidden="false" customHeight="true" outlineLevel="0" collapsed="false">
      <c r="A10" s="15" t="s">
        <v>38</v>
      </c>
      <c r="B10" s="22"/>
      <c r="C10" s="22"/>
      <c r="D10" s="22"/>
      <c r="E10" s="23"/>
      <c r="F10" s="23"/>
      <c r="G10" s="23"/>
      <c r="H10" s="23"/>
      <c r="I10" s="23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 t="s">
        <v>73</v>
      </c>
      <c r="B11" s="10" t="n">
        <v>22457</v>
      </c>
      <c r="C11" s="10" t="n">
        <v>26651</v>
      </c>
      <c r="D11" s="10" t="n">
        <v>31338</v>
      </c>
      <c r="E11" s="16" t="n">
        <f aca="false">E8*Assumptions!B7</f>
        <v>35652.9992</v>
      </c>
      <c r="F11" s="16" t="n">
        <f aca="false">F8*Assumptions!C7</f>
        <v>39841.498176</v>
      </c>
      <c r="G11" s="16" t="n">
        <f aca="false">G8*Assumptions!D7</f>
        <v>43877.6593548</v>
      </c>
      <c r="H11" s="16" t="n">
        <f aca="false">H8*Assumptions!E7</f>
        <v>47796.6201234</v>
      </c>
      <c r="I11" s="16" t="n">
        <f aca="false">I8*Assumptions!F7</f>
        <v>51559.5515184165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 t="s">
        <v>238</v>
      </c>
      <c r="B12" s="10" t="n">
        <v>14824</v>
      </c>
      <c r="C12" s="10" t="n">
        <v>17327</v>
      </c>
      <c r="D12" s="10" t="n">
        <v>20679</v>
      </c>
      <c r="E12" s="16" t="n">
        <f aca="false">E8-E11</f>
        <v>23967.4008</v>
      </c>
      <c r="F12" s="16" t="n">
        <f aca="false">F8-F11</f>
        <v>27458.329824</v>
      </c>
      <c r="G12" s="16" t="n">
        <f aca="false">G8-G11</f>
        <v>30998.8924452</v>
      </c>
      <c r="H12" s="16" t="n">
        <f aca="false">H8-H11</f>
        <v>34611.3456066</v>
      </c>
      <c r="I12" s="16" t="n">
        <f aca="false">I8-I11</f>
        <v>38109.2337310035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 t="s">
        <v>239</v>
      </c>
      <c r="B13" s="20" t="n">
        <f aca="false">B12/B8</f>
        <v>0.397628818969448</v>
      </c>
      <c r="C13" s="20" t="n">
        <f aca="false">C12/C8</f>
        <v>0.39399245077084</v>
      </c>
      <c r="D13" s="20" t="n">
        <f aca="false">D12/D8</f>
        <v>0.39754311090605</v>
      </c>
      <c r="E13" s="21" t="n">
        <f aca="false">E12/E8</f>
        <v>0.402</v>
      </c>
      <c r="F13" s="21" t="n">
        <f aca="false">F12/F8</f>
        <v>0.408</v>
      </c>
      <c r="G13" s="21" t="n">
        <f aca="false">G12/G8</f>
        <v>0.414</v>
      </c>
      <c r="H13" s="21" t="n">
        <f aca="false">H12/H8</f>
        <v>0.42</v>
      </c>
      <c r="I13" s="21" t="n">
        <f aca="false">I12/I8</f>
        <v>0.425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 t="s">
        <v>74</v>
      </c>
      <c r="B14" s="10" t="n">
        <v>2689</v>
      </c>
      <c r="C14" s="10" t="n">
        <v>2732</v>
      </c>
      <c r="D14" s="10" t="n">
        <v>2854</v>
      </c>
      <c r="E14" s="16" t="n">
        <f aca="false">E8*Assumptions!B8</f>
        <v>3100.2608</v>
      </c>
      <c r="F14" s="16" t="n">
        <f aca="false">F8*Assumptions!C8</f>
        <v>3432.291228</v>
      </c>
      <c r="G14" s="16" t="n">
        <f aca="false">G8*Assumptions!D8</f>
        <v>3743.82759</v>
      </c>
      <c r="H14" s="16" t="n">
        <f aca="false">H8*Assumptions!E8</f>
        <v>4037.99032077</v>
      </c>
      <c r="I14" s="16" t="n">
        <f aca="false">I8*Assumptions!F8</f>
        <v>4304.10169197216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 t="s">
        <v>76</v>
      </c>
      <c r="B15" s="10" t="n">
        <v>4356</v>
      </c>
      <c r="C15" s="10" t="n">
        <v>4337</v>
      </c>
      <c r="D15" s="10" t="n">
        <v>4898</v>
      </c>
      <c r="E15" s="16" t="n">
        <f aca="false">E8*Assumptions!B9</f>
        <v>5485.0768</v>
      </c>
      <c r="F15" s="16" t="n">
        <f aca="false">F8*Assumptions!C9</f>
        <v>6056.98452</v>
      </c>
      <c r="G15" s="16" t="n">
        <f aca="false">G8*Assumptions!D9</f>
        <v>6589.1365584</v>
      </c>
      <c r="H15" s="16" t="n">
        <f aca="false">H8*Assumptions!E9</f>
        <v>7087.08505278</v>
      </c>
      <c r="I15" s="16" t="n">
        <f aca="false">I8*Assumptions!F9</f>
        <v>7532.17796095128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 t="s">
        <v>77</v>
      </c>
      <c r="B16" s="10" t="n">
        <v>3164</v>
      </c>
      <c r="C16" s="10" t="n">
        <v>3109</v>
      </c>
      <c r="D16" s="10" t="n">
        <v>3402</v>
      </c>
      <c r="E16" s="16" t="n">
        <f aca="false">E8*Assumptions!B10</f>
        <v>3815.7056</v>
      </c>
      <c r="F16" s="16" t="n">
        <f aca="false">F8*Assumptions!C10</f>
        <v>4239.889164</v>
      </c>
      <c r="G16" s="16" t="n">
        <f aca="false">G8*Assumptions!D10</f>
        <v>4642.3462116</v>
      </c>
      <c r="H16" s="16" t="n">
        <f aca="false">H8*Assumptions!E10</f>
        <v>5026.88590953</v>
      </c>
      <c r="I16" s="16" t="n">
        <f aca="false">I8*Assumptions!F10</f>
        <v>5380.1271149652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 t="s">
        <v>78</v>
      </c>
      <c r="B17" s="10" t="n">
        <v>2682</v>
      </c>
      <c r="C17" s="10" t="n">
        <v>3639</v>
      </c>
      <c r="D17" s="10" t="n">
        <v>3241</v>
      </c>
      <c r="E17" s="16" t="n">
        <f aca="false">E8*Assumptions!B11</f>
        <v>3577.224</v>
      </c>
      <c r="F17" s="16" t="n">
        <f aca="false">F8*Assumptions!C11</f>
        <v>3903.390024</v>
      </c>
      <c r="G17" s="16" t="n">
        <f aca="false">G8*Assumptions!D11</f>
        <v>4193.0869008</v>
      </c>
      <c r="H17" s="16" t="n">
        <f aca="false">H8*Assumptions!E11</f>
        <v>4532.43811515</v>
      </c>
      <c r="I17" s="16" t="n">
        <f aca="false">I8*Assumptions!F11</f>
        <v>4842.11440346868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 t="s">
        <v>79</v>
      </c>
      <c r="B18" s="10" t="n">
        <v>823</v>
      </c>
      <c r="C18" s="10" t="n">
        <v>711</v>
      </c>
      <c r="D18" s="10" t="n">
        <v>719</v>
      </c>
      <c r="E18" s="16" t="n">
        <f aca="false">E8*Assumptions!B12</f>
        <v>804.8754</v>
      </c>
      <c r="F18" s="16" t="n">
        <f aca="false">F8*Assumptions!C12</f>
        <v>895.0877124</v>
      </c>
      <c r="G18" s="16" t="n">
        <f aca="false">G8*Assumptions!D12</f>
        <v>973.3951734</v>
      </c>
      <c r="H18" s="16" t="n">
        <f aca="false">H8*Assumptions!E12</f>
        <v>1054.821961344</v>
      </c>
      <c r="I18" s="16" t="n">
        <f aca="false">I8*Assumptions!F12</f>
        <v>1120.85981561775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17" t="s">
        <v>80</v>
      </c>
      <c r="B19" s="18" t="n">
        <v>36171</v>
      </c>
      <c r="C19" s="18" t="n">
        <v>41179</v>
      </c>
      <c r="D19" s="18" t="n">
        <v>46452</v>
      </c>
      <c r="E19" s="19" t="n">
        <f aca="false">SUM(E11,E14:E18)</f>
        <v>52436.1418</v>
      </c>
      <c r="F19" s="19" t="n">
        <f aca="false">SUM(F11,F14:F18)</f>
        <v>58369.1408244</v>
      </c>
      <c r="G19" s="19" t="n">
        <f aca="false">SUM(G11,G14:G18)</f>
        <v>64019.451789</v>
      </c>
      <c r="H19" s="19" t="n">
        <f aca="false">SUM(H11,H14:H18)</f>
        <v>69535.841482974</v>
      </c>
      <c r="I19" s="19" t="n">
        <f aca="false">SUM(I11,I14:I18)</f>
        <v>74738.9325053916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17" t="s">
        <v>81</v>
      </c>
      <c r="B20" s="18" t="n">
        <v>1110</v>
      </c>
      <c r="C20" s="18" t="n">
        <v>2799</v>
      </c>
      <c r="D20" s="18" t="n">
        <v>5565</v>
      </c>
      <c r="E20" s="19" t="n">
        <f aca="false">E8-E19</f>
        <v>7184.2582</v>
      </c>
      <c r="F20" s="19" t="n">
        <f aca="false">F8-F19</f>
        <v>8930.6871756</v>
      </c>
      <c r="G20" s="19" t="n">
        <f aca="false">G8-G19</f>
        <v>10857.100011</v>
      </c>
      <c r="H20" s="19" t="n">
        <f aca="false">H8-H19</f>
        <v>12872.124247026</v>
      </c>
      <c r="I20" s="19" t="n">
        <f aca="false">I8-I19</f>
        <v>14929.8527440284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2" t="s">
        <v>240</v>
      </c>
      <c r="B21" s="20" t="n">
        <f aca="false">B20/B8</f>
        <v>0.0297738794560232</v>
      </c>
      <c r="C21" s="20" t="n">
        <f aca="false">C20/C8</f>
        <v>0.063645459093183</v>
      </c>
      <c r="D21" s="20" t="n">
        <f aca="false">D20/D8</f>
        <v>0.106984255147356</v>
      </c>
      <c r="E21" s="21" t="n">
        <f aca="false">E20/E8</f>
        <v>0.1205</v>
      </c>
      <c r="F21" s="21" t="n">
        <f aca="false">F20/F8</f>
        <v>0.1327</v>
      </c>
      <c r="G21" s="21" t="n">
        <f aca="false">G20/G8</f>
        <v>0.145</v>
      </c>
      <c r="H21" s="21" t="n">
        <f aca="false">H20/H8</f>
        <v>0.1562</v>
      </c>
      <c r="I21" s="21" t="n">
        <f aca="false">I20/I8</f>
        <v>0.1665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 t="s">
        <v>82</v>
      </c>
      <c r="B22" s="10" t="n">
        <v>-633</v>
      </c>
      <c r="C22" s="10" t="n">
        <v>-523</v>
      </c>
      <c r="D22" s="10" t="n">
        <v>-440</v>
      </c>
      <c r="E22" s="16" t="n">
        <f aca="false">-D74*Assumptions!B13</f>
        <v>-441.882</v>
      </c>
      <c r="F22" s="16" t="n">
        <f aca="false">-E74*Assumptions!C13</f>
        <v>-441.882</v>
      </c>
      <c r="G22" s="16" t="n">
        <f aca="false">-F74*Assumptions!D13</f>
        <v>-441.882</v>
      </c>
      <c r="H22" s="16" t="n">
        <f aca="false">-G74*Assumptions!E13</f>
        <v>-441.882</v>
      </c>
      <c r="I22" s="16" t="n">
        <f aca="false">-H74*Assumptions!F13</f>
        <v>-441.882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 t="s">
        <v>83</v>
      </c>
      <c r="B23" s="10" t="n">
        <v>484</v>
      </c>
      <c r="C23" s="10" t="n">
        <v>721</v>
      </c>
      <c r="D23" s="10" t="n">
        <v>743</v>
      </c>
      <c r="E23" s="16" t="n">
        <f aca="false">(D51+D52)*Assumptions!B14</f>
        <v>343.485</v>
      </c>
      <c r="F23" s="16" t="n">
        <f aca="false">(E51+E52)*Assumptions!C14</f>
        <v>678.154240505345</v>
      </c>
      <c r="G23" s="16" t="n">
        <f aca="false">(F51+F52)*Assumptions!D14</f>
        <v>1006.9629195415</v>
      </c>
      <c r="H23" s="16" t="n">
        <f aca="false">(G51+G52)*Assumptions!E14</f>
        <v>1364.80242039211</v>
      </c>
      <c r="I23" s="16" t="n">
        <f aca="false">(H51+H52)*Assumptions!F14</f>
        <v>1682.74657598976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 t="s">
        <v>84</v>
      </c>
      <c r="B24" s="10" t="n">
        <v>1360</v>
      </c>
      <c r="C24" s="10" t="n">
        <v>1128</v>
      </c>
      <c r="D24" s="10" t="n">
        <v>-68</v>
      </c>
      <c r="E24" s="16" t="n">
        <f aca="false">Assumptions!B15</f>
        <v>0</v>
      </c>
      <c r="F24" s="16" t="n">
        <f aca="false">Assumptions!C15</f>
        <v>0</v>
      </c>
      <c r="G24" s="16" t="n">
        <f aca="false">Assumptions!D15</f>
        <v>0</v>
      </c>
      <c r="H24" s="16" t="n">
        <f aca="false">Assumptions!E15</f>
        <v>0</v>
      </c>
      <c r="I24" s="16" t="n">
        <f aca="false">Assumptions!F15</f>
        <v>0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 t="s">
        <v>85</v>
      </c>
      <c r="B25" s="10" t="n">
        <v>2321</v>
      </c>
      <c r="C25" s="10" t="n">
        <v>4125</v>
      </c>
      <c r="D25" s="10" t="n">
        <v>5800</v>
      </c>
      <c r="E25" s="16" t="n">
        <f aca="false">SUM(E20:E24)</f>
        <v>7085.9817</v>
      </c>
      <c r="F25" s="16" t="n">
        <f aca="false">SUM(F20:F24)</f>
        <v>9167.09211610535</v>
      </c>
      <c r="G25" s="16" t="n">
        <f aca="false">SUM(G20:G24)</f>
        <v>11422.3259305415</v>
      </c>
      <c r="H25" s="16" t="n">
        <f aca="false">SUM(H20:H24)</f>
        <v>13795.2008674181</v>
      </c>
      <c r="I25" s="16" t="n">
        <f aca="false">SUM(I20:I24)</f>
        <v>16170.8838200182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true" outlineLevel="0" collapsed="false">
      <c r="A26" s="2" t="s">
        <v>241</v>
      </c>
      <c r="B26" s="10" t="n">
        <v>213</v>
      </c>
      <c r="C26" s="10" t="n">
        <v>-5758</v>
      </c>
      <c r="D26" s="10" t="n">
        <v>-4346</v>
      </c>
      <c r="E26" s="16" t="n">
        <f aca="false">E25*Assumptions!B16</f>
        <v>1488.056157</v>
      </c>
      <c r="F26" s="16" t="n">
        <f aca="false">F25*Assumptions!C16</f>
        <v>1925.08934438212</v>
      </c>
      <c r="G26" s="16" t="n">
        <f aca="false">G25*Assumptions!D16</f>
        <v>2398.68844541372</v>
      </c>
      <c r="H26" s="16" t="n">
        <f aca="false">H25*Assumptions!E16</f>
        <v>2896.9921821578</v>
      </c>
      <c r="I26" s="16" t="n">
        <f aca="false">I25*Assumptions!F16</f>
        <v>3395.88560220382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true" outlineLevel="0" collapsed="false">
      <c r="A27" s="2" t="s">
        <v>87</v>
      </c>
      <c r="B27" s="10" t="n">
        <v>48</v>
      </c>
      <c r="C27" s="10" t="n">
        <v>-38</v>
      </c>
      <c r="D27" s="10" t="n">
        <v>-53</v>
      </c>
      <c r="E27" s="16" t="n">
        <f aca="false">Assumptions!B17</f>
        <v>0</v>
      </c>
      <c r="F27" s="16" t="n">
        <f aca="false">Assumptions!C17</f>
        <v>0</v>
      </c>
      <c r="G27" s="16" t="n">
        <f aca="false">Assumptions!D17</f>
        <v>0</v>
      </c>
      <c r="H27" s="16" t="n">
        <f aca="false">Assumptions!E17</f>
        <v>0</v>
      </c>
      <c r="I27" s="16" t="n">
        <f aca="false">Assumptions!F17</f>
        <v>0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true" outlineLevel="0" collapsed="false">
      <c r="A28" s="17" t="s">
        <v>88</v>
      </c>
      <c r="B28" s="18" t="n">
        <v>2156</v>
      </c>
      <c r="C28" s="18" t="n">
        <v>9845</v>
      </c>
      <c r="D28" s="18" t="n">
        <v>10093</v>
      </c>
      <c r="E28" s="19" t="n">
        <f aca="false">E25-E26+E27</f>
        <v>5597.925543</v>
      </c>
      <c r="F28" s="19" t="n">
        <f aca="false">F25-F26+F27</f>
        <v>7242.00277172323</v>
      </c>
      <c r="G28" s="19" t="n">
        <f aca="false">G25-G26+G27</f>
        <v>9023.63748512779</v>
      </c>
      <c r="H28" s="19" t="n">
        <f aca="false">H25-H26+H27</f>
        <v>10898.2086852603</v>
      </c>
      <c r="I28" s="19" t="n">
        <f aca="false">I25-I26+I27</f>
        <v>12774.9982178144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true" outlineLevel="0" collapsed="false">
      <c r="A29" s="2" t="s">
        <v>89</v>
      </c>
      <c r="B29" s="10" t="n">
        <v>269</v>
      </c>
      <c r="C29" s="10" t="n">
        <v>-11</v>
      </c>
      <c r="D29" s="10" t="n">
        <v>40</v>
      </c>
      <c r="E29" s="16" t="n">
        <f aca="false">Assumptions!B18</f>
        <v>50</v>
      </c>
      <c r="F29" s="16" t="n">
        <f aca="false">Assumptions!C18</f>
        <v>55</v>
      </c>
      <c r="G29" s="16" t="n">
        <f aca="false">Assumptions!D18</f>
        <v>60</v>
      </c>
      <c r="H29" s="16" t="n">
        <f aca="false">Assumptions!E18</f>
        <v>65</v>
      </c>
      <c r="I29" s="16" t="n">
        <f aca="false">Assumptions!F18</f>
        <v>70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true" outlineLevel="0" collapsed="false">
      <c r="A30" s="17" t="s">
        <v>90</v>
      </c>
      <c r="B30" s="18" t="n">
        <v>1887</v>
      </c>
      <c r="C30" s="18" t="n">
        <v>9856</v>
      </c>
      <c r="D30" s="18" t="n">
        <v>10053</v>
      </c>
      <c r="E30" s="19" t="n">
        <f aca="false">E28-E29</f>
        <v>5547.925543</v>
      </c>
      <c r="F30" s="19" t="n">
        <f aca="false">F28-F29</f>
        <v>7187.00277172323</v>
      </c>
      <c r="G30" s="19" t="n">
        <f aca="false">G28-G29</f>
        <v>8963.63748512779</v>
      </c>
      <c r="H30" s="19" t="n">
        <f aca="false">H28-H29</f>
        <v>10833.2086852603</v>
      </c>
      <c r="I30" s="19" t="n">
        <f aca="false">I28-I29</f>
        <v>12704.9982178144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true" outlineLevel="0" collapsed="false">
      <c r="A31" s="2" t="s">
        <v>230</v>
      </c>
      <c r="B31" s="10" t="n">
        <v>2091.782</v>
      </c>
      <c r="C31" s="10" t="n">
        <v>2150.508</v>
      </c>
      <c r="D31" s="10" t="n">
        <v>2119.689</v>
      </c>
      <c r="E31" s="16" t="n">
        <f aca="false">Assumptions!B28</f>
        <v>2080</v>
      </c>
      <c r="F31" s="16" t="n">
        <f aca="false">Assumptions!C28</f>
        <v>2050</v>
      </c>
      <c r="G31" s="16" t="n">
        <f aca="false">Assumptions!D28</f>
        <v>2020</v>
      </c>
      <c r="H31" s="16" t="n">
        <f aca="false">Assumptions!E28</f>
        <v>1990</v>
      </c>
      <c r="I31" s="16" t="n">
        <f aca="false">Assumptions!F28</f>
        <v>1960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2" t="s">
        <v>92</v>
      </c>
      <c r="B32" s="24" t="n">
        <v>0.87</v>
      </c>
      <c r="C32" s="24" t="n">
        <v>4.56</v>
      </c>
      <c r="D32" s="24" t="n">
        <v>4.73</v>
      </c>
      <c r="E32" s="25" t="n">
        <f aca="false">E30/E31</f>
        <v>2.66727189567308</v>
      </c>
      <c r="F32" s="25" t="n">
        <f aca="false">F30/F31</f>
        <v>3.5058550105967</v>
      </c>
      <c r="G32" s="25" t="n">
        <f aca="false">G30/G31</f>
        <v>4.43744429956821</v>
      </c>
      <c r="H32" s="25" t="n">
        <f aca="false">H30/H31</f>
        <v>5.44382345992981</v>
      </c>
      <c r="I32" s="25" t="n">
        <f aca="false">I30/I31</f>
        <v>6.48214194786448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2"/>
      <c r="B33" s="11"/>
      <c r="C33" s="11"/>
      <c r="D33" s="11"/>
      <c r="E33" s="26"/>
      <c r="F33" s="26"/>
      <c r="G33" s="26"/>
      <c r="H33" s="26"/>
      <c r="I33" s="26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8" hidden="false" customHeight="true" outlineLevel="0" collapsed="false">
      <c r="A34" s="15" t="s">
        <v>132</v>
      </c>
      <c r="B34" s="22"/>
      <c r="C34" s="22"/>
      <c r="D34" s="22"/>
      <c r="E34" s="23"/>
      <c r="F34" s="23"/>
      <c r="G34" s="23"/>
      <c r="H34" s="23"/>
      <c r="I34" s="23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 t="s">
        <v>88</v>
      </c>
      <c r="B35" s="10" t="n">
        <v>2156</v>
      </c>
      <c r="C35" s="10" t="n">
        <v>9845</v>
      </c>
      <c r="D35" s="10" t="n">
        <v>10093</v>
      </c>
      <c r="E35" s="16" t="n">
        <f aca="false">E28</f>
        <v>5597.925543</v>
      </c>
      <c r="F35" s="16" t="n">
        <f aca="false">F28</f>
        <v>7242.00277172323</v>
      </c>
      <c r="G35" s="16" t="n">
        <f aca="false">G28</f>
        <v>9023.63748512779</v>
      </c>
      <c r="H35" s="16" t="n">
        <f aca="false">H28</f>
        <v>10898.2086852603</v>
      </c>
      <c r="I35" s="16" t="n">
        <f aca="false">I28</f>
        <v>12774.9982178144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 t="s">
        <v>242</v>
      </c>
      <c r="B36" s="10" t="n">
        <v>823</v>
      </c>
      <c r="C36" s="10" t="n">
        <v>737</v>
      </c>
      <c r="D36" s="10" t="n">
        <v>747</v>
      </c>
      <c r="E36" s="16" t="n">
        <f aca="false">E18</f>
        <v>804.8754</v>
      </c>
      <c r="F36" s="16" t="n">
        <f aca="false">F18</f>
        <v>895.0877124</v>
      </c>
      <c r="G36" s="16" t="n">
        <f aca="false">G18</f>
        <v>973.3951734</v>
      </c>
      <c r="H36" s="16" t="n">
        <f aca="false">H18</f>
        <v>1054.821961344</v>
      </c>
      <c r="I36" s="16" t="n">
        <f aca="false">I18</f>
        <v>1120.85981561775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 t="s">
        <v>134</v>
      </c>
      <c r="B37" s="10" t="n">
        <v>1935</v>
      </c>
      <c r="C37" s="10" t="n">
        <v>1796</v>
      </c>
      <c r="D37" s="10" t="n">
        <v>1826</v>
      </c>
      <c r="E37" s="16" t="n">
        <f aca="false">E8*Assumptions!B19</f>
        <v>1967.4732</v>
      </c>
      <c r="F37" s="16" t="n">
        <f aca="false">F8*Assumptions!C19</f>
        <v>2086.294668</v>
      </c>
      <c r="G37" s="16" t="n">
        <f aca="false">G8*Assumptions!D19</f>
        <v>2171.4200022</v>
      </c>
      <c r="H37" s="16" t="n">
        <f aca="false">H8*Assumptions!E19</f>
        <v>2225.01507471</v>
      </c>
      <c r="I37" s="16" t="n">
        <f aca="false">I8*Assumptions!F19</f>
        <v>2241.7196312355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 t="s">
        <v>221</v>
      </c>
      <c r="B38" s="10" t="n">
        <v>26</v>
      </c>
      <c r="C38" s="10" t="n">
        <v>-6027</v>
      </c>
      <c r="D38" s="10" t="n">
        <v>-4779</v>
      </c>
      <c r="E38" s="16" t="n">
        <f aca="false">Assumptions!B20</f>
        <v>0</v>
      </c>
      <c r="F38" s="16" t="n">
        <f aca="false">Assumptions!C20</f>
        <v>0</v>
      </c>
      <c r="G38" s="16" t="n">
        <f aca="false">Assumptions!D20</f>
        <v>0</v>
      </c>
      <c r="H38" s="16" t="n">
        <f aca="false">Assumptions!E20</f>
        <v>0</v>
      </c>
      <c r="I38" s="16" t="n">
        <f aca="false">Assumptions!F20</f>
        <v>0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 t="s">
        <v>243</v>
      </c>
      <c r="B39" s="10" t="n">
        <v>-1520</v>
      </c>
      <c r="C39" s="10" t="n">
        <v>-1588</v>
      </c>
      <c r="D39" s="10" t="n">
        <v>-15</v>
      </c>
      <c r="E39" s="16" t="n">
        <f aca="false">0</f>
        <v>0</v>
      </c>
      <c r="F39" s="16" t="n">
        <f aca="false">0</f>
        <v>0</v>
      </c>
      <c r="G39" s="16" t="n">
        <f aca="false">0</f>
        <v>0</v>
      </c>
      <c r="H39" s="16" t="n">
        <f aca="false">0</f>
        <v>0</v>
      </c>
      <c r="I39" s="16" t="n">
        <f aca="false">0</f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 t="s">
        <v>244</v>
      </c>
      <c r="B40" s="10" t="n">
        <v>-758</v>
      </c>
      <c r="C40" s="10" t="n">
        <v>-142</v>
      </c>
      <c r="D40" s="10" t="n">
        <v>-466</v>
      </c>
      <c r="E40" s="16" t="n">
        <f aca="false">-(E54-D54)</f>
        <v>-525.2892</v>
      </c>
      <c r="F40" s="16" t="n">
        <f aca="false">-(F54-E54)</f>
        <v>-560.598244</v>
      </c>
      <c r="G40" s="16" t="n">
        <f aca="false">-(G54-F54)</f>
        <v>-553.100837399999</v>
      </c>
      <c r="H40" s="16" t="n">
        <f aca="false">-(H54-G54)</f>
        <v>-549.793216890002</v>
      </c>
      <c r="I40" s="16" t="n">
        <f aca="false">-(I54-H54)</f>
        <v>-530.039824917661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 t="s">
        <v>245</v>
      </c>
      <c r="B41" s="10" t="n">
        <v>-1462</v>
      </c>
      <c r="C41" s="10" t="n">
        <v>-694</v>
      </c>
      <c r="D41" s="10" t="n">
        <v>-1028</v>
      </c>
      <c r="E41" s="16" t="n">
        <f aca="false">-(E55-D55)</f>
        <v>-303.9548</v>
      </c>
      <c r="F41" s="16" t="n">
        <f aca="false">-(F55-E55)</f>
        <v>-284.138836</v>
      </c>
      <c r="G41" s="16" t="n">
        <f aca="false">-(G55-F55)</f>
        <v>-280.3387806</v>
      </c>
      <c r="H41" s="16" t="n">
        <f aca="false">-(H55-G55)</f>
        <v>-278.66231541</v>
      </c>
      <c r="I41" s="16" t="n">
        <f aca="false">-(I55-H55)</f>
        <v>-268.65032221854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 t="s">
        <v>246</v>
      </c>
      <c r="B42" s="10" t="n">
        <v>64</v>
      </c>
      <c r="C42" s="10" t="n">
        <v>86</v>
      </c>
      <c r="D42" s="10" t="n">
        <v>126</v>
      </c>
      <c r="E42" s="16" t="n">
        <f aca="false">E68-D68</f>
        <v>119.7876</v>
      </c>
      <c r="F42" s="16" t="n">
        <f aca="false">F68-E68</f>
        <v>145.909132</v>
      </c>
      <c r="G42" s="16" t="n">
        <f aca="false">G68-F68</f>
        <v>143.9577522</v>
      </c>
      <c r="H42" s="16" t="n">
        <f aca="false">H68-G68</f>
        <v>143.09686467</v>
      </c>
      <c r="I42" s="16" t="n">
        <f aca="false">I68-H68</f>
        <v>137.95557086898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 t="s">
        <v>247</v>
      </c>
      <c r="B43" s="10" t="n">
        <v>2230</v>
      </c>
      <c r="C43" s="10" t="n">
        <v>2819</v>
      </c>
      <c r="D43" s="10" t="n">
        <v>2660</v>
      </c>
      <c r="E43" s="16" t="n">
        <f aca="false">(E69+E73)-(D69+D73)</f>
        <v>1821.73470596151</v>
      </c>
      <c r="F43" s="16" t="n">
        <f aca="false">(F69+F73)-(E69+E73)</f>
        <v>1839.95061545264</v>
      </c>
      <c r="G43" s="16" t="n">
        <f aca="false">(G69+G73)-(F69+F73)</f>
        <v>1815.34322854836</v>
      </c>
      <c r="H43" s="16" t="n">
        <f aca="false">(H69+H73)-(G69+G73)</f>
        <v>1804.48722166965</v>
      </c>
      <c r="I43" s="16" t="n">
        <f aca="false">(I69+I73)-(H69+H73)</f>
        <v>1739.65422209146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 t="s">
        <v>248</v>
      </c>
      <c r="B44" s="10" t="n">
        <v>80</v>
      </c>
      <c r="C44" s="10" t="n">
        <v>330</v>
      </c>
      <c r="D44" s="10" t="n">
        <v>967</v>
      </c>
      <c r="E44" s="16" t="n">
        <f aca="false">E71-D71</f>
        <v>1132.4396</v>
      </c>
      <c r="F44" s="16" t="n">
        <f aca="false">F71-E71</f>
        <v>1076.934944</v>
      </c>
      <c r="G44" s="16" t="n">
        <f aca="false">G71-F71</f>
        <v>1046.4785706</v>
      </c>
      <c r="H44" s="16" t="n">
        <f aca="false">H71-G71</f>
        <v>1024.70988198</v>
      </c>
      <c r="I44" s="16" t="n">
        <f aca="false">I71-H71</f>
        <v>970.4108645859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 t="s">
        <v>249</v>
      </c>
      <c r="B45" s="10" t="n">
        <v>11</v>
      </c>
      <c r="C45" s="10" t="n">
        <v>-25</v>
      </c>
      <c r="D45" s="10" t="n">
        <v>-32</v>
      </c>
      <c r="E45" s="16" t="n">
        <f aca="false">0</f>
        <v>0</v>
      </c>
      <c r="F45" s="16" t="n">
        <f aca="false">0</f>
        <v>0</v>
      </c>
      <c r="G45" s="16" t="n">
        <f aca="false">0</f>
        <v>0</v>
      </c>
      <c r="H45" s="16" t="n">
        <f aca="false">0</f>
        <v>0</v>
      </c>
      <c r="I45" s="16" t="n">
        <f aca="false">0</f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17" t="s">
        <v>145</v>
      </c>
      <c r="B46" s="18" t="n">
        <v>3585</v>
      </c>
      <c r="C46" s="18" t="n">
        <v>7137</v>
      </c>
      <c r="D46" s="18" t="n">
        <v>10099</v>
      </c>
      <c r="E46" s="19" t="n">
        <f aca="false">SUM(E35:E45)</f>
        <v>10614.9920489615</v>
      </c>
      <c r="F46" s="19" t="n">
        <f aca="false">SUM(F35:F45)</f>
        <v>12441.4427635759</v>
      </c>
      <c r="G46" s="19" t="n">
        <f aca="false">SUM(G35:G45)</f>
        <v>14340.7925940761</v>
      </c>
      <c r="H46" s="19" t="n">
        <f aca="false">SUM(H35:H45)</f>
        <v>16321.884157334</v>
      </c>
      <c r="I46" s="19" t="n">
        <f aca="false">SUM(I35:I45)</f>
        <v>18186.9081750778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 t="s">
        <v>250</v>
      </c>
      <c r="B47" s="10" t="n">
        <v>-223</v>
      </c>
      <c r="C47" s="10" t="n">
        <v>-242</v>
      </c>
      <c r="D47" s="10" t="n">
        <v>-336</v>
      </c>
      <c r="E47" s="16" t="n">
        <f aca="false">-E8*Assumptions!B21</f>
        <v>-476.9632</v>
      </c>
      <c r="F47" s="16" t="n">
        <f aca="false">-F8*Assumptions!C21</f>
        <v>-538.398624</v>
      </c>
      <c r="G47" s="16" t="n">
        <f aca="false">-G8*Assumptions!D21</f>
        <v>-599.0124144</v>
      </c>
      <c r="H47" s="16" t="n">
        <f aca="false">-H8*Assumptions!E21</f>
        <v>-659.26372584</v>
      </c>
      <c r="I47" s="16" t="n">
        <f aca="false">-I8*Assumptions!F21</f>
        <v>-717.35028199536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17" t="s">
        <v>251</v>
      </c>
      <c r="B48" s="18" t="n">
        <v>3362</v>
      </c>
      <c r="C48" s="18" t="n">
        <v>6895</v>
      </c>
      <c r="D48" s="18" t="n">
        <v>9763</v>
      </c>
      <c r="E48" s="19" t="n">
        <f aca="false">E46+E47</f>
        <v>10138.0288489615</v>
      </c>
      <c r="F48" s="19" t="n">
        <f aca="false">F46+F47</f>
        <v>11903.0441395759</v>
      </c>
      <c r="G48" s="19" t="n">
        <f aca="false">G46+G47</f>
        <v>13741.7801796761</v>
      </c>
      <c r="H48" s="19" t="n">
        <f aca="false">H46+H47</f>
        <v>15662.620431494</v>
      </c>
      <c r="I48" s="19" t="n">
        <f aca="false">I46+I47</f>
        <v>17469.5578930824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/>
      <c r="B49" s="11"/>
      <c r="C49" s="11"/>
      <c r="D49" s="11"/>
      <c r="E49" s="26"/>
      <c r="F49" s="26"/>
      <c r="G49" s="26"/>
      <c r="H49" s="26"/>
      <c r="I49" s="26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8" hidden="false" customHeight="true" outlineLevel="0" collapsed="false">
      <c r="A50" s="15" t="s">
        <v>43</v>
      </c>
      <c r="B50" s="22"/>
      <c r="C50" s="22"/>
      <c r="D50" s="22"/>
      <c r="E50" s="23"/>
      <c r="F50" s="23"/>
      <c r="G50" s="23"/>
      <c r="H50" s="23"/>
      <c r="I50" s="23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 t="s">
        <v>95</v>
      </c>
      <c r="B51" s="10" t="n">
        <v>4680</v>
      </c>
      <c r="C51" s="10" t="n">
        <v>5893</v>
      </c>
      <c r="D51" s="10" t="n">
        <v>7105</v>
      </c>
      <c r="E51" s="16" t="n">
        <f aca="false">D51+E48-E80</f>
        <v>15243.0288489615</v>
      </c>
      <c r="F51" s="16" t="n">
        <f aca="false">E51+F48-F80</f>
        <v>24646.0729885374</v>
      </c>
      <c r="G51" s="16" t="n">
        <f aca="false">F51+G48-G80</f>
        <v>35387.8531682135</v>
      </c>
      <c r="H51" s="16" t="n">
        <f aca="false">G51+H48-H80</f>
        <v>47550.4735997075</v>
      </c>
      <c r="I51" s="16" t="n">
        <f aca="false">H51+I48-I80</f>
        <v>61020.0314927899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 t="s">
        <v>97</v>
      </c>
      <c r="B52" s="10" t="n">
        <v>727</v>
      </c>
      <c r="C52" s="10" t="n">
        <v>1084</v>
      </c>
      <c r="D52" s="10" t="n">
        <v>528</v>
      </c>
      <c r="E52" s="16" t="n">
        <f aca="false">D52</f>
        <v>528</v>
      </c>
      <c r="F52" s="16" t="n">
        <f aca="false">E52</f>
        <v>528</v>
      </c>
      <c r="G52" s="16" t="n">
        <f aca="false">F52</f>
        <v>528</v>
      </c>
      <c r="H52" s="16" t="n">
        <f aca="false">G52</f>
        <v>528</v>
      </c>
      <c r="I52" s="16" t="n">
        <f aca="false">H52</f>
        <v>528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 t="s">
        <v>252</v>
      </c>
      <c r="B53" s="10" t="n">
        <v>805</v>
      </c>
      <c r="C53" s="10" t="n">
        <v>545</v>
      </c>
      <c r="D53" s="10" t="n">
        <v>631</v>
      </c>
      <c r="E53" s="16" t="n">
        <f aca="false">D53</f>
        <v>631</v>
      </c>
      <c r="F53" s="16" t="n">
        <f aca="false">E53</f>
        <v>631</v>
      </c>
      <c r="G53" s="16" t="n">
        <f aca="false">F53</f>
        <v>631</v>
      </c>
      <c r="H53" s="16" t="n">
        <f aca="false">G53</f>
        <v>631</v>
      </c>
      <c r="I53" s="16" t="n">
        <f aca="false">H53</f>
        <v>631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 t="s">
        <v>100</v>
      </c>
      <c r="B54" s="10" t="n">
        <v>3404</v>
      </c>
      <c r="C54" s="10" t="n">
        <v>3333</v>
      </c>
      <c r="D54" s="10" t="n">
        <v>3827</v>
      </c>
      <c r="E54" s="16" t="n">
        <f aca="false">E8*Assumptions!B22</f>
        <v>4352.2892</v>
      </c>
      <c r="F54" s="16" t="n">
        <f aca="false">F8*Assumptions!C22</f>
        <v>4912.887444</v>
      </c>
      <c r="G54" s="16" t="n">
        <f aca="false">G8*Assumptions!D22</f>
        <v>5465.9882814</v>
      </c>
      <c r="H54" s="16" t="n">
        <f aca="false">H8*Assumptions!E22</f>
        <v>6015.78149829</v>
      </c>
      <c r="I54" s="16" t="n">
        <f aca="false">I8*Assumptions!F22</f>
        <v>6545.82132320766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 t="s">
        <v>253</v>
      </c>
      <c r="B55" s="10" t="n">
        <v>1681</v>
      </c>
      <c r="C55" s="10" t="n">
        <v>1390</v>
      </c>
      <c r="D55" s="10" t="n">
        <v>1902</v>
      </c>
      <c r="E55" s="16" t="n">
        <f aca="false">E8*Assumptions!B23</f>
        <v>2205.9548</v>
      </c>
      <c r="F55" s="16" t="n">
        <f aca="false">F8*Assumptions!C23</f>
        <v>2490.093636</v>
      </c>
      <c r="G55" s="16" t="n">
        <f aca="false">G8*Assumptions!D23</f>
        <v>2770.4324166</v>
      </c>
      <c r="H55" s="16" t="n">
        <f aca="false">H8*Assumptions!E23</f>
        <v>3049.09473201</v>
      </c>
      <c r="I55" s="16" t="n">
        <f aca="false">I8*Assumptions!F23</f>
        <v>3317.74505422854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17" t="s">
        <v>102</v>
      </c>
      <c r="B56" s="18" t="n">
        <v>11297</v>
      </c>
      <c r="C56" s="18" t="n">
        <v>12245</v>
      </c>
      <c r="D56" s="18" t="n">
        <v>13993</v>
      </c>
      <c r="E56" s="19" t="n">
        <f aca="false">SUM(E51:E55)</f>
        <v>22960.2728489615</v>
      </c>
      <c r="F56" s="19" t="n">
        <f aca="false">SUM(F51:F55)</f>
        <v>33208.0540685374</v>
      </c>
      <c r="G56" s="19" t="n">
        <f aca="false">SUM(G51:G55)</f>
        <v>44783.2738662135</v>
      </c>
      <c r="H56" s="19" t="n">
        <f aca="false">SUM(H51:H55)</f>
        <v>57774.3498300075</v>
      </c>
      <c r="I56" s="19" t="n">
        <f aca="false">SUM(I51:I55)</f>
        <v>72042.5978702261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17" t="s">
        <v>254</v>
      </c>
      <c r="B57" s="18" t="n">
        <v>1519</v>
      </c>
      <c r="C57" s="18" t="n">
        <v>2172</v>
      </c>
      <c r="D57" s="18" t="n">
        <v>1911</v>
      </c>
      <c r="E57" s="19" t="n">
        <f aca="false">D57</f>
        <v>1911</v>
      </c>
      <c r="F57" s="19" t="n">
        <f aca="false">E57</f>
        <v>1911</v>
      </c>
      <c r="G57" s="19" t="n">
        <f aca="false">F57</f>
        <v>1911</v>
      </c>
      <c r="H57" s="19" t="n">
        <f aca="false">G57</f>
        <v>1911</v>
      </c>
      <c r="I57" s="19" t="n">
        <f aca="false">H57</f>
        <v>1911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 t="s">
        <v>104</v>
      </c>
      <c r="B58" s="10" t="n">
        <v>4779</v>
      </c>
      <c r="C58" s="10" t="n">
        <v>7019</v>
      </c>
      <c r="D58" s="10" t="n">
        <v>8874</v>
      </c>
      <c r="E58" s="16" t="n">
        <f aca="false">D58</f>
        <v>8874</v>
      </c>
      <c r="F58" s="16" t="n">
        <f aca="false">E58</f>
        <v>8874</v>
      </c>
      <c r="G58" s="16" t="n">
        <f aca="false">F58</f>
        <v>8874</v>
      </c>
      <c r="H58" s="16" t="n">
        <f aca="false">G58</f>
        <v>8874</v>
      </c>
      <c r="I58" s="16" t="n">
        <f aca="false">H58</f>
        <v>8874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 t="s">
        <v>105</v>
      </c>
      <c r="B59" s="10" t="n">
        <v>6101</v>
      </c>
      <c r="C59" s="10" t="n">
        <v>8460</v>
      </c>
      <c r="D59" s="10" t="n">
        <v>9178</v>
      </c>
      <c r="E59" s="16" t="n">
        <f aca="false">D59</f>
        <v>9178</v>
      </c>
      <c r="F59" s="16" t="n">
        <f aca="false">E59</f>
        <v>9178</v>
      </c>
      <c r="G59" s="16" t="n">
        <f aca="false">F59</f>
        <v>9178</v>
      </c>
      <c r="H59" s="16" t="n">
        <f aca="false">G59</f>
        <v>9178</v>
      </c>
      <c r="I59" s="16" t="n">
        <f aca="false">H59</f>
        <v>9178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 t="s">
        <v>106</v>
      </c>
      <c r="B60" s="10" t="n">
        <v>353</v>
      </c>
      <c r="C60" s="10" t="n">
        <v>302</v>
      </c>
      <c r="D60" s="10" t="n">
        <v>287</v>
      </c>
      <c r="E60" s="16" t="n">
        <f aca="false">D60</f>
        <v>287</v>
      </c>
      <c r="F60" s="16" t="n">
        <f aca="false">E60</f>
        <v>287</v>
      </c>
      <c r="G60" s="16" t="n">
        <f aca="false">F60</f>
        <v>287</v>
      </c>
      <c r="H60" s="16" t="n">
        <f aca="false">G60</f>
        <v>287</v>
      </c>
      <c r="I60" s="16" t="n">
        <f aca="false">H60</f>
        <v>287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 t="s">
        <v>107</v>
      </c>
      <c r="B61" s="10" t="n">
        <v>2073</v>
      </c>
      <c r="C61" s="10" t="n">
        <v>1952</v>
      </c>
      <c r="D61" s="10" t="n">
        <v>1897</v>
      </c>
      <c r="E61" s="16" t="n">
        <f aca="false">MAX(0,D61+ABS(E47)-E18)</f>
        <v>1569.0878</v>
      </c>
      <c r="F61" s="16" t="n">
        <f aca="false">MAX(0,E61+ABS(F47)-F18)</f>
        <v>1212.3987116</v>
      </c>
      <c r="G61" s="16" t="n">
        <f aca="false">MAX(0,F61+ABS(G47)-G18)</f>
        <v>838.0159526</v>
      </c>
      <c r="H61" s="16" t="n">
        <f aca="false">MAX(0,G61+ABS(H47)-H18)</f>
        <v>442.457717096</v>
      </c>
      <c r="I61" s="16" t="n">
        <f aca="false">MAX(0,H61+ABS(I47)-I18)</f>
        <v>38.94818347361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 t="s">
        <v>108</v>
      </c>
      <c r="B62" s="10" t="n">
        <v>1241</v>
      </c>
      <c r="C62" s="10" t="n">
        <v>1158</v>
      </c>
      <c r="D62" s="10" t="n">
        <v>1114</v>
      </c>
      <c r="E62" s="16" t="n">
        <f aca="false">D62</f>
        <v>1114</v>
      </c>
      <c r="F62" s="16" t="n">
        <f aca="false">E62</f>
        <v>1114</v>
      </c>
      <c r="G62" s="16" t="n">
        <f aca="false">F62</f>
        <v>1114</v>
      </c>
      <c r="H62" s="16" t="n">
        <f aca="false">G62</f>
        <v>1114</v>
      </c>
      <c r="I62" s="16" t="n">
        <f aca="false">H62</f>
        <v>1114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 t="s">
        <v>109</v>
      </c>
      <c r="B63" s="10" t="n">
        <v>1425</v>
      </c>
      <c r="C63" s="10" t="n">
        <v>1125</v>
      </c>
      <c r="D63" s="10" t="n">
        <v>1048</v>
      </c>
      <c r="E63" s="16" t="n">
        <f aca="false">MAX(0,D63*0.9)</f>
        <v>943.2</v>
      </c>
      <c r="F63" s="16" t="n">
        <f aca="false">MAX(0,E63*0.9)</f>
        <v>848.88</v>
      </c>
      <c r="G63" s="16" t="n">
        <f aca="false">MAX(0,F63*0.9)</f>
        <v>763.992</v>
      </c>
      <c r="H63" s="16" t="n">
        <f aca="false">MAX(0,G63*0.9)</f>
        <v>687.5928</v>
      </c>
      <c r="I63" s="16" t="n">
        <f aca="false">MAX(0,H63*0.9)</f>
        <v>618.83352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 t="s">
        <v>110</v>
      </c>
      <c r="B64" s="10" t="n">
        <v>8151</v>
      </c>
      <c r="C64" s="10" t="n">
        <v>8066</v>
      </c>
      <c r="D64" s="10" t="n">
        <v>8931</v>
      </c>
      <c r="E64" s="16" t="n">
        <f aca="false">D64</f>
        <v>8931</v>
      </c>
      <c r="F64" s="16" t="n">
        <f aca="false">E64</f>
        <v>8931</v>
      </c>
      <c r="G64" s="16" t="n">
        <f aca="false">F64</f>
        <v>8931</v>
      </c>
      <c r="H64" s="16" t="n">
        <f aca="false">G64</f>
        <v>8931</v>
      </c>
      <c r="I64" s="16" t="n">
        <f aca="false">H64</f>
        <v>8931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 t="s">
        <v>111</v>
      </c>
      <c r="B65" s="10" t="n">
        <v>170</v>
      </c>
      <c r="C65" s="10" t="n">
        <v>6171</v>
      </c>
      <c r="D65" s="10" t="n">
        <v>10951</v>
      </c>
      <c r="E65" s="16" t="n">
        <f aca="false">D65</f>
        <v>10951</v>
      </c>
      <c r="F65" s="16" t="n">
        <f aca="false">E65</f>
        <v>10951</v>
      </c>
      <c r="G65" s="16" t="n">
        <f aca="false">F65</f>
        <v>10951</v>
      </c>
      <c r="H65" s="16" t="n">
        <f aca="false">G65</f>
        <v>10951</v>
      </c>
      <c r="I65" s="16" t="n">
        <f aca="false">H65</f>
        <v>10951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 t="s">
        <v>255</v>
      </c>
      <c r="B66" s="10" t="n">
        <v>1590</v>
      </c>
      <c r="C66" s="10" t="n">
        <v>2574</v>
      </c>
      <c r="D66" s="10" t="n">
        <v>3618</v>
      </c>
      <c r="E66" s="16" t="n">
        <f aca="false">E86-E56-SUM(E57:E65)</f>
        <v>3722.80000000001</v>
      </c>
      <c r="F66" s="16" t="n">
        <f aca="false">F86-F56-SUM(F57:F65)</f>
        <v>3817.12000000001</v>
      </c>
      <c r="G66" s="16" t="n">
        <f aca="false">G86-G56-SUM(G57:G65)</f>
        <v>3902.00799999999</v>
      </c>
      <c r="H66" s="16" t="n">
        <f aca="false">H86-H56-SUM(H57:H65)</f>
        <v>3978.40719999999</v>
      </c>
      <c r="I66" s="16" t="n">
        <f aca="false">I86-I56-SUM(I57:I65)</f>
        <v>4047.16647999999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17" t="s">
        <v>113</v>
      </c>
      <c r="B67" s="18" t="n">
        <v>38699</v>
      </c>
      <c r="C67" s="18" t="n">
        <v>51244</v>
      </c>
      <c r="D67" s="18" t="n">
        <v>61802</v>
      </c>
      <c r="E67" s="19" t="n">
        <f aca="false">SUM(E56:E66)</f>
        <v>70441.3606489615</v>
      </c>
      <c r="F67" s="19" t="n">
        <f aca="false">SUM(F56:F66)</f>
        <v>80332.4527801374</v>
      </c>
      <c r="G67" s="19" t="n">
        <f aca="false">SUM(G56:G66)</f>
        <v>91533.2898188135</v>
      </c>
      <c r="H67" s="19" t="n">
        <f aca="false">SUM(H56:H66)</f>
        <v>104128.807547104</v>
      </c>
      <c r="I67" s="19" t="n">
        <f aca="false">SUM(I56:I66)</f>
        <v>117993.5460537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17" t="s">
        <v>114</v>
      </c>
      <c r="B68" s="18" t="n">
        <v>790</v>
      </c>
      <c r="C68" s="18" t="n">
        <v>858</v>
      </c>
      <c r="D68" s="18" t="n">
        <v>1013</v>
      </c>
      <c r="E68" s="19" t="n">
        <f aca="false">E8*Assumptions!B24</f>
        <v>1132.7876</v>
      </c>
      <c r="F68" s="19" t="n">
        <f aca="false">F8*Assumptions!C24</f>
        <v>1278.696732</v>
      </c>
      <c r="G68" s="19" t="n">
        <f aca="false">G8*Assumptions!D24</f>
        <v>1422.6544842</v>
      </c>
      <c r="H68" s="19" t="n">
        <f aca="false">H8*Assumptions!E24</f>
        <v>1565.75134887</v>
      </c>
      <c r="I68" s="19" t="n">
        <f aca="false">I8*Assumptions!F24</f>
        <v>1703.70691973898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 t="s">
        <v>115</v>
      </c>
      <c r="B69" s="10" t="n">
        <v>2077</v>
      </c>
      <c r="C69" s="10" t="n">
        <v>2754</v>
      </c>
      <c r="D69" s="10" t="n">
        <v>3387</v>
      </c>
      <c r="E69" s="16" t="n">
        <f aca="false">D69*(1+E9)</f>
        <v>3882.08268066209</v>
      </c>
      <c r="F69" s="16" t="n">
        <f aca="false">E69*(1+F9)</f>
        <v>4382.11579745083</v>
      </c>
      <c r="G69" s="16" t="n">
        <f aca="false">F69*(1+G9)</f>
        <v>4875.4615019436</v>
      </c>
      <c r="H69" s="16" t="n">
        <f aca="false">G69*(1+H9)</f>
        <v>5365.85692999423</v>
      </c>
      <c r="I69" s="16" t="n">
        <f aca="false">H69*(1+I9)</f>
        <v>5838.63305534317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 t="s">
        <v>116</v>
      </c>
      <c r="B70" s="10" t="n">
        <v>190</v>
      </c>
      <c r="C70" s="10" t="n">
        <v>175</v>
      </c>
      <c r="D70" s="10" t="n">
        <v>169</v>
      </c>
      <c r="E70" s="16" t="n">
        <f aca="false">D70</f>
        <v>169</v>
      </c>
      <c r="F70" s="16" t="n">
        <f aca="false">E70</f>
        <v>169</v>
      </c>
      <c r="G70" s="16" t="n">
        <f aca="false">F70</f>
        <v>169</v>
      </c>
      <c r="H70" s="16" t="n">
        <f aca="false">G70</f>
        <v>169</v>
      </c>
      <c r="I70" s="16" t="n">
        <f aca="false">H70</f>
        <v>169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 t="s">
        <v>117</v>
      </c>
      <c r="B71" s="10" t="n">
        <v>6397</v>
      </c>
      <c r="C71" s="10" t="n">
        <v>7689</v>
      </c>
      <c r="D71" s="10" t="n">
        <v>7751</v>
      </c>
      <c r="E71" s="16" t="n">
        <f aca="false">E8*Assumptions!B25</f>
        <v>8883.4396</v>
      </c>
      <c r="F71" s="16" t="n">
        <f aca="false">F8*Assumptions!C25</f>
        <v>9960.374544</v>
      </c>
      <c r="G71" s="16" t="n">
        <f aca="false">G8*Assumptions!D25</f>
        <v>11006.8531146</v>
      </c>
      <c r="H71" s="16" t="n">
        <f aca="false">H8*Assumptions!E25</f>
        <v>12031.56299658</v>
      </c>
      <c r="I71" s="16" t="n">
        <f aca="false">I8*Assumptions!F25</f>
        <v>13001.9738611659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17" t="s">
        <v>118</v>
      </c>
      <c r="B72" s="18" t="n">
        <v>9454</v>
      </c>
      <c r="C72" s="18" t="n">
        <v>11476</v>
      </c>
      <c r="D72" s="18" t="n">
        <v>12320</v>
      </c>
      <c r="E72" s="19" t="n">
        <f aca="false">SUM(E68:E71)</f>
        <v>14067.3098806621</v>
      </c>
      <c r="F72" s="19" t="n">
        <f aca="false">SUM(F68:F71)</f>
        <v>15790.1870734508</v>
      </c>
      <c r="G72" s="19" t="n">
        <f aca="false">SUM(G68:G71)</f>
        <v>17473.9691007436</v>
      </c>
      <c r="H72" s="19" t="n">
        <f aca="false">SUM(H68:H71)</f>
        <v>19132.1712754442</v>
      </c>
      <c r="I72" s="19" t="n">
        <f aca="false">SUM(I68:I71)</f>
        <v>20713.3138362481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17" t="s">
        <v>119</v>
      </c>
      <c r="B73" s="18" t="n">
        <v>4909</v>
      </c>
      <c r="C73" s="18" t="n">
        <v>7042</v>
      </c>
      <c r="D73" s="18" t="n">
        <v>9076</v>
      </c>
      <c r="E73" s="19" t="n">
        <f aca="false">D73*(1+E9)</f>
        <v>10402.6520252994</v>
      </c>
      <c r="F73" s="19" t="n">
        <f aca="false">E73*(1+F9)</f>
        <v>11742.5695239633</v>
      </c>
      <c r="G73" s="19" t="n">
        <f aca="false">F73*(1+G9)</f>
        <v>13064.5670480189</v>
      </c>
      <c r="H73" s="19" t="n">
        <f aca="false">G73*(1+H9)</f>
        <v>14378.6588416379</v>
      </c>
      <c r="I73" s="19" t="n">
        <f aca="false">H73*(1+I9)</f>
        <v>15645.5369383805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 t="s">
        <v>256</v>
      </c>
      <c r="B74" s="10" t="n">
        <v>9459</v>
      </c>
      <c r="C74" s="10" t="n">
        <v>8347</v>
      </c>
      <c r="D74" s="10" t="n">
        <v>10521</v>
      </c>
      <c r="E74" s="16" t="n">
        <f aca="false">Assumptions!B26</f>
        <v>10521</v>
      </c>
      <c r="F74" s="16" t="n">
        <f aca="false">Assumptions!C26</f>
        <v>10521</v>
      </c>
      <c r="G74" s="16" t="n">
        <f aca="false">Assumptions!D26</f>
        <v>10521</v>
      </c>
      <c r="H74" s="16" t="n">
        <f aca="false">Assumptions!E26</f>
        <v>10521</v>
      </c>
      <c r="I74" s="16" t="n">
        <f aca="false">Assumptions!F26</f>
        <v>10521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 t="s">
        <v>121</v>
      </c>
      <c r="B75" s="10" t="n">
        <v>1550</v>
      </c>
      <c r="C75" s="10" t="n">
        <v>1454</v>
      </c>
      <c r="D75" s="10" t="n">
        <v>1390</v>
      </c>
      <c r="E75" s="16" t="n">
        <f aca="false">D75</f>
        <v>1390</v>
      </c>
      <c r="F75" s="16" t="n">
        <f aca="false">E75</f>
        <v>1390</v>
      </c>
      <c r="G75" s="16" t="n">
        <f aca="false">F75</f>
        <v>1390</v>
      </c>
      <c r="H75" s="16" t="n">
        <f aca="false">G75</f>
        <v>1390</v>
      </c>
      <c r="I75" s="16" t="n">
        <f aca="false">H75</f>
        <v>1390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 t="s">
        <v>122</v>
      </c>
      <c r="B76" s="10" t="n">
        <v>645</v>
      </c>
      <c r="C76" s="10" t="n">
        <v>449</v>
      </c>
      <c r="D76" s="10" t="n">
        <v>412</v>
      </c>
      <c r="E76" s="16" t="n">
        <f aca="false">D76</f>
        <v>412</v>
      </c>
      <c r="F76" s="16" t="n">
        <f aca="false">E76</f>
        <v>412</v>
      </c>
      <c r="G76" s="16" t="n">
        <f aca="false">F76</f>
        <v>412</v>
      </c>
      <c r="H76" s="16" t="n">
        <f aca="false">G76</f>
        <v>412</v>
      </c>
      <c r="I76" s="16" t="n">
        <f aca="false">H76</f>
        <v>412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17" t="s">
        <v>123</v>
      </c>
      <c r="B77" s="18" t="n">
        <v>26017</v>
      </c>
      <c r="C77" s="18" t="n">
        <v>28768</v>
      </c>
      <c r="D77" s="18" t="n">
        <v>33719</v>
      </c>
      <c r="E77" s="19" t="n">
        <f aca="false">SUM(E72:E76)</f>
        <v>36792.9619059615</v>
      </c>
      <c r="F77" s="19" t="n">
        <f aca="false">SUM(F72:F76)</f>
        <v>39855.7565974142</v>
      </c>
      <c r="G77" s="19" t="n">
        <f aca="false">SUM(G72:G76)</f>
        <v>42861.5361487625</v>
      </c>
      <c r="H77" s="19" t="n">
        <f aca="false">SUM(H72:H76)</f>
        <v>45833.8301170822</v>
      </c>
      <c r="I77" s="19" t="n">
        <f aca="false">SUM(I72:I76)</f>
        <v>48681.8507746285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17" t="s">
        <v>124</v>
      </c>
      <c r="B78" s="18" t="n">
        <v>654</v>
      </c>
      <c r="C78" s="18" t="n">
        <v>93</v>
      </c>
      <c r="D78" s="18" t="n">
        <v>165</v>
      </c>
      <c r="E78" s="19" t="n">
        <f aca="false">D78</f>
        <v>165</v>
      </c>
      <c r="F78" s="19" t="n">
        <f aca="false">E78</f>
        <v>165</v>
      </c>
      <c r="G78" s="19" t="n">
        <f aca="false">F78</f>
        <v>165</v>
      </c>
      <c r="H78" s="19" t="n">
        <f aca="false">G78</f>
        <v>165</v>
      </c>
      <c r="I78" s="19" t="n">
        <f aca="false">H78</f>
        <v>165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 t="s">
        <v>125</v>
      </c>
      <c r="B79" s="10" t="n">
        <v>42264</v>
      </c>
      <c r="C79" s="10" t="n">
        <v>42801</v>
      </c>
      <c r="D79" s="10" t="n">
        <v>38101</v>
      </c>
      <c r="E79" s="16" t="n">
        <f aca="false">D79+E37-E80</f>
        <v>38068.4732</v>
      </c>
      <c r="F79" s="16" t="n">
        <f aca="false">E79+F37-F80</f>
        <v>37654.767868</v>
      </c>
      <c r="G79" s="16" t="n">
        <f aca="false">F79+G37-G80</f>
        <v>36826.1878702</v>
      </c>
      <c r="H79" s="16" t="n">
        <f aca="false">G79+H37-H80</f>
        <v>35551.20294491</v>
      </c>
      <c r="I79" s="16" t="n">
        <f aca="false">H79+I37-I80</f>
        <v>33792.9225761455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 t="s">
        <v>257</v>
      </c>
      <c r="B80" s="10" t="n">
        <v>0</v>
      </c>
      <c r="C80" s="10" t="n">
        <v>1252</v>
      </c>
      <c r="D80" s="10" t="n">
        <v>6523</v>
      </c>
      <c r="E80" s="16" t="n">
        <f aca="false">Assumptions!B27</f>
        <v>2000</v>
      </c>
      <c r="F80" s="16" t="n">
        <f aca="false">Assumptions!C27</f>
        <v>2500</v>
      </c>
      <c r="G80" s="16" t="n">
        <f aca="false">Assumptions!D27</f>
        <v>3000</v>
      </c>
      <c r="H80" s="16" t="n">
        <f aca="false">Assumptions!E27</f>
        <v>3500</v>
      </c>
      <c r="I80" s="16" t="n">
        <f aca="false">Assumptions!F27</f>
        <v>4000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 t="s">
        <v>126</v>
      </c>
      <c r="B81" s="10" t="n">
        <v>-421</v>
      </c>
      <c r="C81" s="10" t="n">
        <v>-517</v>
      </c>
      <c r="D81" s="10" t="n">
        <v>-432</v>
      </c>
      <c r="E81" s="16" t="n">
        <f aca="false">D81</f>
        <v>-432</v>
      </c>
      <c r="F81" s="16" t="n">
        <f aca="false">E81</f>
        <v>-432</v>
      </c>
      <c r="G81" s="16" t="n">
        <f aca="false">F81</f>
        <v>-432</v>
      </c>
      <c r="H81" s="16" t="n">
        <f aca="false">G81</f>
        <v>-432</v>
      </c>
      <c r="I81" s="16" t="n">
        <f aca="false">H81</f>
        <v>-432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 t="s">
        <v>127</v>
      </c>
      <c r="B82" s="10" t="n">
        <v>-30594</v>
      </c>
      <c r="C82" s="10" t="n">
        <v>-20726</v>
      </c>
      <c r="D82" s="10" t="n">
        <v>-10628</v>
      </c>
      <c r="E82" s="16" t="n">
        <f aca="false">D82+E30</f>
        <v>-5080.074457</v>
      </c>
      <c r="F82" s="16" t="n">
        <f aca="false">E82+F30</f>
        <v>2106.92831472323</v>
      </c>
      <c r="G82" s="16" t="n">
        <f aca="false">F82+G30</f>
        <v>11070.565799851</v>
      </c>
      <c r="H82" s="16" t="n">
        <f aca="false">G82+H30</f>
        <v>21903.7744851113</v>
      </c>
      <c r="I82" s="16" t="n">
        <f aca="false">H82+I30</f>
        <v>34608.7727029257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17" t="s">
        <v>128</v>
      </c>
      <c r="B83" s="18" t="n">
        <v>11249</v>
      </c>
      <c r="C83" s="18" t="n">
        <v>21558</v>
      </c>
      <c r="D83" s="18" t="n">
        <v>27041</v>
      </c>
      <c r="E83" s="19" t="n">
        <f aca="false">SUM(E79,E81:E82)</f>
        <v>32556.398743</v>
      </c>
      <c r="F83" s="19" t="n">
        <f aca="false">SUM(F79,F81:F82)</f>
        <v>39329.6961827232</v>
      </c>
      <c r="G83" s="19" t="n">
        <f aca="false">SUM(G79,G81:G82)</f>
        <v>47464.753670051</v>
      </c>
      <c r="H83" s="19" t="n">
        <f aca="false">SUM(H79,H81:H82)</f>
        <v>57022.9774300213</v>
      </c>
      <c r="I83" s="19" t="n">
        <f aca="false">SUM(I79,I81:I82)</f>
        <v>67969.6952790712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 t="s">
        <v>258</v>
      </c>
      <c r="B84" s="10" t="n">
        <v>779</v>
      </c>
      <c r="C84" s="10" t="n">
        <v>825</v>
      </c>
      <c r="D84" s="10" t="n">
        <v>877</v>
      </c>
      <c r="E84" s="16" t="n">
        <f aca="false">D84+E29</f>
        <v>927</v>
      </c>
      <c r="F84" s="16" t="n">
        <f aca="false">E84+F29</f>
        <v>982</v>
      </c>
      <c r="G84" s="16" t="n">
        <f aca="false">F84+G29</f>
        <v>1042</v>
      </c>
      <c r="H84" s="16" t="n">
        <f aca="false">G84+H29</f>
        <v>1107</v>
      </c>
      <c r="I84" s="16" t="n">
        <f aca="false">H84+I29</f>
        <v>1177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17" t="s">
        <v>130</v>
      </c>
      <c r="B85" s="18" t="n">
        <v>12028</v>
      </c>
      <c r="C85" s="18" t="n">
        <v>22383</v>
      </c>
      <c r="D85" s="18" t="n">
        <v>27918</v>
      </c>
      <c r="E85" s="19" t="n">
        <f aca="false">E83+E84</f>
        <v>33483.398743</v>
      </c>
      <c r="F85" s="19" t="n">
        <f aca="false">F83+F84</f>
        <v>40311.6961827232</v>
      </c>
      <c r="G85" s="19" t="n">
        <f aca="false">G83+G84</f>
        <v>48506.753670051</v>
      </c>
      <c r="H85" s="19" t="n">
        <f aca="false">H83+H84</f>
        <v>58129.9774300213</v>
      </c>
      <c r="I85" s="19" t="n">
        <f aca="false">I83+I84</f>
        <v>69146.6952790712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17" t="s">
        <v>131</v>
      </c>
      <c r="B86" s="18" t="n">
        <v>38699</v>
      </c>
      <c r="C86" s="18" t="n">
        <v>51244</v>
      </c>
      <c r="D86" s="18" t="n">
        <v>61802</v>
      </c>
      <c r="E86" s="19" t="n">
        <f aca="false">SUM(E77:E78,E85)</f>
        <v>70441.3606489615</v>
      </c>
      <c r="F86" s="19" t="n">
        <f aca="false">SUM(F77:F78,F85)</f>
        <v>80332.4527801374</v>
      </c>
      <c r="G86" s="19" t="n">
        <f aca="false">SUM(G77:G78,G85)</f>
        <v>91533.2898188135</v>
      </c>
      <c r="H86" s="19" t="n">
        <f aca="false">SUM(H77:H78,H85)</f>
        <v>104128.807547104</v>
      </c>
      <c r="I86" s="19" t="n">
        <f aca="false">SUM(I77:I78,I85)</f>
        <v>117993.5460537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8" hidden="false" customHeight="true" outlineLevel="0" collapsed="false">
      <c r="A87" s="27" t="s">
        <v>259</v>
      </c>
      <c r="B87" s="28" t="n">
        <v>0</v>
      </c>
      <c r="C87" s="28" t="n">
        <v>0</v>
      </c>
      <c r="D87" s="28" t="n">
        <v>0</v>
      </c>
      <c r="E87" s="29" t="n">
        <f aca="false">E67-E86</f>
        <v>0</v>
      </c>
      <c r="F87" s="29" t="n">
        <f aca="false">F67-F86</f>
        <v>0</v>
      </c>
      <c r="G87" s="29" t="n">
        <f aca="false">G67-G86</f>
        <v>0</v>
      </c>
      <c r="H87" s="29" t="n">
        <f aca="false">H67-H86</f>
        <v>0</v>
      </c>
      <c r="I87" s="29" t="n">
        <f aca="false">I67-I86</f>
        <v>0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17"/>
      <c r="B88" s="30"/>
      <c r="C88" s="30"/>
      <c r="D88" s="30"/>
      <c r="E88" s="31"/>
      <c r="F88" s="31"/>
      <c r="G88" s="31"/>
      <c r="H88" s="31"/>
      <c r="I88" s="31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7"/>
      <c r="B89" s="28"/>
      <c r="C89" s="28"/>
      <c r="D89" s="28"/>
      <c r="E89" s="29"/>
      <c r="F89" s="29"/>
      <c r="G89" s="29"/>
      <c r="H89" s="29"/>
      <c r="I89" s="29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7" min="2" style="0" width="48"/>
    <col collapsed="false" customWidth="true" hidden="false" outlineLevel="0" max="8" min="8" style="1" width="48"/>
  </cols>
  <sheetData>
    <row r="1" customFormat="false" ht="18" hidden="false" customHeight="true" outlineLevel="0" collapsed="false">
      <c r="A1" s="8" t="s">
        <v>260</v>
      </c>
      <c r="B1" s="8"/>
      <c r="C1" s="8"/>
      <c r="D1" s="8"/>
      <c r="E1" s="8"/>
      <c r="F1" s="8"/>
      <c r="G1" s="8"/>
      <c r="H1" s="8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9" t="s">
        <v>235</v>
      </c>
      <c r="B3" s="9" t="s">
        <v>198</v>
      </c>
      <c r="C3" s="9" t="s">
        <v>199</v>
      </c>
      <c r="D3" s="9" t="s">
        <v>200</v>
      </c>
      <c r="E3" s="9" t="s">
        <v>201</v>
      </c>
      <c r="F3" s="9" t="s">
        <v>202</v>
      </c>
      <c r="G3" s="9" t="s">
        <v>261</v>
      </c>
      <c r="H3" s="9" t="s">
        <v>262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true" outlineLevel="0" collapsed="false">
      <c r="A4" s="2" t="s">
        <v>263</v>
      </c>
      <c r="B4" s="32" t="n">
        <f aca="false">Model!E20</f>
        <v>7184.2582</v>
      </c>
      <c r="C4" s="32" t="n">
        <f aca="false">Model!F20</f>
        <v>8930.6871756</v>
      </c>
      <c r="D4" s="32" t="n">
        <f aca="false">Model!G20</f>
        <v>10857.100011</v>
      </c>
      <c r="E4" s="32" t="n">
        <f aca="false">Model!H20</f>
        <v>12872.124247026</v>
      </c>
      <c r="F4" s="32" t="n">
        <f aca="false">Model!I20</f>
        <v>14929.8527440284</v>
      </c>
      <c r="G4" s="33"/>
      <c r="H4" s="5" t="s">
        <v>23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true" outlineLevel="0" collapsed="false">
      <c r="A5" s="2" t="s">
        <v>264</v>
      </c>
      <c r="B5" s="32" t="n">
        <f aca="false">B4*Assumptions!B16</f>
        <v>1508.694222</v>
      </c>
      <c r="C5" s="32" t="n">
        <f aca="false">C4*Assumptions!C16</f>
        <v>1875.444306876</v>
      </c>
      <c r="D5" s="32" t="n">
        <f aca="false">D4*Assumptions!D16</f>
        <v>2279.99100231</v>
      </c>
      <c r="E5" s="32" t="n">
        <f aca="false">E4*Assumptions!E16</f>
        <v>2703.14609187546</v>
      </c>
      <c r="F5" s="32" t="n">
        <f aca="false">F4*Assumptions!F16</f>
        <v>3135.26907624597</v>
      </c>
      <c r="G5" s="33"/>
      <c r="H5" s="5" t="s">
        <v>265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 t="s">
        <v>266</v>
      </c>
      <c r="B6" s="32" t="n">
        <f aca="false">B4-B5</f>
        <v>5675.563978</v>
      </c>
      <c r="C6" s="32" t="n">
        <f aca="false">C4-C5</f>
        <v>7055.242868724</v>
      </c>
      <c r="D6" s="32" t="n">
        <f aca="false">D4-D5</f>
        <v>8577.10900869001</v>
      </c>
      <c r="E6" s="32" t="n">
        <f aca="false">E4-E5</f>
        <v>10168.9781551505</v>
      </c>
      <c r="F6" s="32" t="n">
        <f aca="false">F4-F5</f>
        <v>11794.5836677825</v>
      </c>
      <c r="G6" s="33"/>
      <c r="H6" s="5" t="s">
        <v>267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2" t="s">
        <v>268</v>
      </c>
      <c r="B7" s="32" t="n">
        <f aca="false">Model!E18</f>
        <v>804.8754</v>
      </c>
      <c r="C7" s="32" t="n">
        <f aca="false">Model!F18</f>
        <v>895.0877124</v>
      </c>
      <c r="D7" s="32" t="n">
        <f aca="false">Model!G18</f>
        <v>973.3951734</v>
      </c>
      <c r="E7" s="32" t="n">
        <f aca="false">Model!H18</f>
        <v>1054.821961344</v>
      </c>
      <c r="F7" s="32" t="n">
        <f aca="false">Model!I18</f>
        <v>1120.85981561775</v>
      </c>
      <c r="G7" s="33"/>
      <c r="H7" s="5" t="s">
        <v>23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2" t="s">
        <v>269</v>
      </c>
      <c r="B8" s="32" t="n">
        <f aca="false">Model!E47</f>
        <v>-476.9632</v>
      </c>
      <c r="C8" s="32" t="n">
        <f aca="false">Model!F47</f>
        <v>-538.398624</v>
      </c>
      <c r="D8" s="32" t="n">
        <f aca="false">Model!G47</f>
        <v>-599.0124144</v>
      </c>
      <c r="E8" s="32" t="n">
        <f aca="false">Model!H47</f>
        <v>-659.26372584</v>
      </c>
      <c r="F8" s="32" t="n">
        <f aca="false">Model!I47</f>
        <v>-717.35028199536</v>
      </c>
      <c r="G8" s="33"/>
      <c r="H8" s="5" t="s">
        <v>23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30" hidden="false" customHeight="true" outlineLevel="0" collapsed="false">
      <c r="A9" s="2" t="s">
        <v>270</v>
      </c>
      <c r="B9" s="32" t="n">
        <f aca="false">-(Model!E40+Model!E41+Model!E42+Model!E43+Model!E44)</f>
        <v>-2244.71790596151</v>
      </c>
      <c r="C9" s="32" t="n">
        <f aca="false">-(Model!F40+Model!F41+Model!F42+Model!F43+Model!F44)</f>
        <v>-2218.05761145264</v>
      </c>
      <c r="D9" s="32" t="n">
        <f aca="false">-(Model!G40+Model!G41+Model!G42+Model!G43+Model!G44)</f>
        <v>-2172.33993334836</v>
      </c>
      <c r="E9" s="32" t="n">
        <f aca="false">-(Model!H40+Model!H41+Model!H42+Model!H43+Model!H44)</f>
        <v>-2143.83843601965</v>
      </c>
      <c r="F9" s="32" t="n">
        <f aca="false">-(Model!I40+Model!I41+Model!I42+Model!I43+Model!I44)</f>
        <v>-2049.33051041014</v>
      </c>
      <c r="G9" s="33"/>
      <c r="H9" s="5" t="s">
        <v>271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true" outlineLevel="0" collapsed="false">
      <c r="A10" s="2" t="s">
        <v>272</v>
      </c>
      <c r="B10" s="32" t="n">
        <f aca="false">B6+B7+B8-B9</f>
        <v>8248.19408396152</v>
      </c>
      <c r="C10" s="32" t="n">
        <f aca="false">C6+C7+C8-C9</f>
        <v>9629.98956857665</v>
      </c>
      <c r="D10" s="32" t="n">
        <f aca="false">D6+D7+D8-D9</f>
        <v>11123.8317010384</v>
      </c>
      <c r="E10" s="32" t="n">
        <f aca="false">E6+E7+E8-E9</f>
        <v>12708.3748266742</v>
      </c>
      <c r="F10" s="32" t="n">
        <f aca="false">F6+F7+F8-F9</f>
        <v>14247.423711815</v>
      </c>
      <c r="G10" s="32" t="n">
        <f aca="false">F10*(1+Assumptions!B30)</f>
        <v>14674.8464231694</v>
      </c>
      <c r="H10" s="5" t="s">
        <v>273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 t="s">
        <v>274</v>
      </c>
      <c r="B11" s="34" t="n">
        <v>0.5</v>
      </c>
      <c r="C11" s="34" t="n">
        <v>1.5</v>
      </c>
      <c r="D11" s="34" t="n">
        <v>2.5</v>
      </c>
      <c r="E11" s="34" t="n">
        <v>3.5</v>
      </c>
      <c r="F11" s="34" t="n">
        <v>4.5</v>
      </c>
      <c r="G11" s="33"/>
      <c r="H11" s="5" t="s">
        <v>275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 t="s">
        <v>276</v>
      </c>
      <c r="B12" s="35" t="n">
        <f aca="false">1/(1+Assumptions!B29)^B11</f>
        <v>0.960030721474639</v>
      </c>
      <c r="C12" s="35" t="n">
        <f aca="false">1/(1+Assumptions!B29)^C11</f>
        <v>0.88482094145128</v>
      </c>
      <c r="D12" s="35" t="n">
        <f aca="false">1/(1+Assumptions!B29)^D11</f>
        <v>0.815503171844498</v>
      </c>
      <c r="E12" s="35" t="n">
        <f aca="false">1/(1+Assumptions!B29)^E11</f>
        <v>0.751615826584791</v>
      </c>
      <c r="F12" s="35" t="n">
        <f aca="false">1/(1+Assumptions!B29)^F11</f>
        <v>0.692733480723309</v>
      </c>
      <c r="G12" s="33"/>
      <c r="H12" s="5" t="s">
        <v>231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 t="s">
        <v>277</v>
      </c>
      <c r="B13" s="32" t="n">
        <f aca="false">B10*B12</f>
        <v>7918.51971728842</v>
      </c>
      <c r="C13" s="32" t="n">
        <f aca="false">C10*C12</f>
        <v>8520.81643623399</v>
      </c>
      <c r="D13" s="32" t="n">
        <f aca="false">D10*D12</f>
        <v>9071.52003526116</v>
      </c>
      <c r="E13" s="32" t="n">
        <f aca="false">E10*E12</f>
        <v>9551.81564990007</v>
      </c>
      <c r="F13" s="32" t="n">
        <f aca="false">F10*F12</f>
        <v>9869.66741922541</v>
      </c>
      <c r="G13" s="33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 t="s">
        <v>278</v>
      </c>
      <c r="B14" s="33"/>
      <c r="C14" s="33"/>
      <c r="D14" s="33"/>
      <c r="E14" s="33"/>
      <c r="F14" s="33"/>
      <c r="G14" s="32" t="n">
        <f aca="false">G10/(Assumptions!B29-Assumptions!B30)</f>
        <v>266815.389512172</v>
      </c>
      <c r="H14" s="5" t="s">
        <v>279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 t="s">
        <v>280</v>
      </c>
      <c r="B15" s="33"/>
      <c r="C15" s="33"/>
      <c r="D15" s="33"/>
      <c r="E15" s="33"/>
      <c r="F15" s="33"/>
      <c r="G15" s="32" t="n">
        <f aca="false">G14*F12</f>
        <v>184831.953487312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 t="s">
        <v>281</v>
      </c>
      <c r="B16" s="33"/>
      <c r="C16" s="33"/>
      <c r="D16" s="33"/>
      <c r="E16" s="33"/>
      <c r="F16" s="33"/>
      <c r="G16" s="32" t="n">
        <f aca="false">SUM(B13:F13)+G15</f>
        <v>229764.292745221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 t="s">
        <v>282</v>
      </c>
      <c r="B17" s="33"/>
      <c r="C17" s="33"/>
      <c r="D17" s="33"/>
      <c r="E17" s="33"/>
      <c r="F17" s="33"/>
      <c r="G17" s="32" t="n">
        <f aca="false">Model!D51+Model!D52</f>
        <v>7633</v>
      </c>
      <c r="H17" s="5" t="s">
        <v>283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 t="s">
        <v>284</v>
      </c>
      <c r="B18" s="33"/>
      <c r="C18" s="33"/>
      <c r="D18" s="33"/>
      <c r="E18" s="33"/>
      <c r="F18" s="33"/>
      <c r="G18" s="32" t="n">
        <f aca="false">-Model!D74</f>
        <v>-10521</v>
      </c>
      <c r="H18" s="5" t="s">
        <v>285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2" t="s">
        <v>286</v>
      </c>
      <c r="B19" s="33"/>
      <c r="C19" s="33"/>
      <c r="D19" s="33"/>
      <c r="E19" s="33"/>
      <c r="F19" s="33"/>
      <c r="G19" s="32" t="n">
        <f aca="false">SUM(G16:G18)</f>
        <v>226876.292745221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 t="s">
        <v>230</v>
      </c>
      <c r="B20" s="33"/>
      <c r="C20" s="33"/>
      <c r="D20" s="33"/>
      <c r="E20" s="33"/>
      <c r="F20" s="33"/>
      <c r="G20" s="32" t="n">
        <f aca="false">Model!D31</f>
        <v>2119.689</v>
      </c>
      <c r="H20" s="5" t="s">
        <v>287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2" t="s">
        <v>288</v>
      </c>
      <c r="B21" s="33"/>
      <c r="C21" s="33"/>
      <c r="D21" s="33"/>
      <c r="E21" s="33"/>
      <c r="F21" s="33"/>
      <c r="G21" s="36" t="n">
        <f aca="false">G19/G20</f>
        <v>107.032820732297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/>
      <c r="B22" s="33"/>
      <c r="C22" s="33"/>
      <c r="D22" s="33"/>
      <c r="E22" s="33"/>
      <c r="F22" s="33"/>
      <c r="G22" s="33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/>
      <c r="B23" s="33"/>
      <c r="C23" s="33"/>
      <c r="D23" s="33"/>
      <c r="E23" s="33"/>
      <c r="F23" s="33"/>
      <c r="G23" s="33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/>
      <c r="B24" s="33"/>
      <c r="C24" s="33"/>
      <c r="D24" s="33"/>
      <c r="E24" s="33"/>
      <c r="F24" s="33"/>
      <c r="G24" s="33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8" hidden="false" customHeight="true" outlineLevel="0" collapsed="false">
      <c r="A27" s="37" t="s">
        <v>289</v>
      </c>
      <c r="B27" s="37"/>
      <c r="C27" s="37"/>
      <c r="D27" s="37"/>
      <c r="E27" s="37"/>
      <c r="F27" s="37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8" hidden="false" customHeight="true" outlineLevel="0" collapsed="false">
      <c r="A28" s="38" t="s">
        <v>290</v>
      </c>
      <c r="B28" s="38" t="s">
        <v>291</v>
      </c>
      <c r="C28" s="38" t="s">
        <v>292</v>
      </c>
      <c r="D28" s="38" t="s">
        <v>293</v>
      </c>
      <c r="E28" s="38" t="s">
        <v>294</v>
      </c>
      <c r="F28" s="38" t="s">
        <v>295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8" hidden="false" customHeight="true" outlineLevel="0" collapsed="false">
      <c r="A29" s="38" t="s">
        <v>296</v>
      </c>
      <c r="B29" s="39" t="n">
        <f aca="false">(SUM(B13:F13)+((F10*(1+0.02))/(0.075-0.02))*F12+G17+G18)/G20</f>
        <v>106.186241358948</v>
      </c>
      <c r="C29" s="39" t="n">
        <f aca="false">(SUM(B13:F13)+((F10*(1+0.025))/(0.075-0.025))*F12+G17+G18)/G20</f>
        <v>115.286969622445</v>
      </c>
      <c r="D29" s="39" t="n">
        <f aca="false">(SUM(B13:F13)+((F10*(1+0.03))/(0.075-0.03))*F12+G17+G18)/G20</f>
        <v>126.410081944496</v>
      </c>
      <c r="E29" s="39" t="n">
        <f aca="false">(SUM(B13:F13)+((F10*(1+0.035))/(0.075-0.035))*F12+G17+G18)/G20</f>
        <v>140.31397234706</v>
      </c>
      <c r="F29" s="39" t="n">
        <f aca="false">(SUM(B13:F13)+((F10*(1+0.04))/(0.075-0.04))*F12+G17+G18)/G20</f>
        <v>158.190402864642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8" hidden="false" customHeight="true" outlineLevel="0" collapsed="false">
      <c r="A30" s="38" t="s">
        <v>297</v>
      </c>
      <c r="B30" s="39" t="n">
        <f aca="false">(SUM(B13:F13)+((F10*(1+0.02))/(0.08-0.02))*F12+G17+G18)/G20</f>
        <v>98.990316685486</v>
      </c>
      <c r="C30" s="39" t="n">
        <f aca="false">(SUM(B13:F13)+((F10*(1+0.025))/(0.08-0.025))*F12+G17+G18)/G20</f>
        <v>106.609531045622</v>
      </c>
      <c r="D30" s="39" t="n">
        <f aca="false">(SUM(B13:F13)+((F10*(1+0.03))/(0.08-0.03))*F12+G17+G18)/G20</f>
        <v>115.752588277786</v>
      </c>
      <c r="E30" s="39" t="n">
        <f aca="false">(SUM(B13:F13)+((F10*(1+0.035))/(0.08-0.035))*F12+G17+G18)/G20</f>
        <v>126.927436005987</v>
      </c>
      <c r="F30" s="39" t="n">
        <f aca="false">(SUM(B13:F13)+((F10*(1+0.04))/(0.08-0.04))*F12+G17+G18)/G20</f>
        <v>140.895995666237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8" hidden="false" customHeight="true" outlineLevel="0" collapsed="false">
      <c r="A31" s="38" t="s">
        <v>298</v>
      </c>
      <c r="B31" s="39" t="n">
        <f aca="false">(SUM(B13:F13)+((F10*(1+0.02))/(0.085-0.02))*F12+G17+G18)/G20</f>
        <v>92.9014573464025</v>
      </c>
      <c r="C31" s="39" t="n">
        <f aca="false">(SUM(B13:F13)+((F10*(1+0.025))/(0.085-0.025))*F12+G17+G18)/G20</f>
        <v>99.3783322316041</v>
      </c>
      <c r="D31" s="39" t="n">
        <f aca="false">(SUM(B13:F13)+((F10*(1+0.03))/(0.085-0.03))*F12+G17+G18)/G20</f>
        <v>107.032820732297</v>
      </c>
      <c r="E31" s="39" t="n">
        <f aca="false">(SUM(B13:F13)+((F10*(1+0.035))/(0.085-0.035))*F12+G17+G18)/G20</f>
        <v>116.218206933128</v>
      </c>
      <c r="F31" s="39" t="n">
        <f aca="false">(SUM(B13:F13)+((F10*(1+0.04))/(0.085-0.04))*F12+G17+G18)/G20</f>
        <v>127.444790067477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8" hidden="false" customHeight="true" outlineLevel="0" collapsed="false">
      <c r="A32" s="38" t="s">
        <v>299</v>
      </c>
      <c r="B32" s="39" t="n">
        <f aca="false">(SUM(B13:F13)+((F10*(1+0.02))/(0.09-0.02))*F12+G17+G18)/G20</f>
        <v>87.6824350557596</v>
      </c>
      <c r="C32" s="39" t="n">
        <f aca="false">(SUM(B13:F13)+((F10*(1+0.025))/(0.09-0.025))*F12+G17+G18)/G20</f>
        <v>93.2596255428192</v>
      </c>
      <c r="D32" s="39" t="n">
        <f aca="false">(SUM(B13:F13)+((F10*(1+0.03))/(0.09-0.03))*F12+G17+G18)/G20</f>
        <v>99.7663477777221</v>
      </c>
      <c r="E32" s="39" t="n">
        <f aca="false">(SUM(B13:F13)+((F10*(1+0.035))/(0.09-0.035))*F12+G17+G18)/G20</f>
        <v>107.456110418971</v>
      </c>
      <c r="F32" s="39" t="n">
        <f aca="false">(SUM(B13:F13)+((F10*(1+0.04))/(0.09-0.04))*F12+G17+G18)/G20</f>
        <v>116.68382558847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8" hidden="false" customHeight="true" outlineLevel="0" collapsed="false">
      <c r="A33" s="38" t="s">
        <v>300</v>
      </c>
      <c r="B33" s="39" t="n">
        <f aca="false">(SUM(B13:F13)+((F10*(1+0.02))/(0.095-0.02))*F12+G17+G18)/G20</f>
        <v>83.159282403869</v>
      </c>
      <c r="C33" s="39" t="n">
        <f aca="false">(SUM(B13:F13)+((F10*(1+0.025))/(0.095-0.025))*F12+G17+G18)/G20</f>
        <v>88.0150198095751</v>
      </c>
      <c r="D33" s="39" t="n">
        <f aca="false">(SUM(B13:F13)+((F10*(1+0.03))/(0.095-0.03))*F12+G17+G18)/G20</f>
        <v>93.6177937392359</v>
      </c>
      <c r="E33" s="39" t="n">
        <f aca="false">(SUM(B13:F13)+((F10*(1+0.035))/(0.095-0.035))*F12+G17+G18)/G20</f>
        <v>100.15436332384</v>
      </c>
      <c r="F33" s="39" t="n">
        <f aca="false">(SUM(B13:F13)+((F10*(1+0.04))/(0.095-0.04))*F12+G17+G18)/G20</f>
        <v>107.879400105645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7:F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0" width="13"/>
    <col collapsed="false" customWidth="true" hidden="false" outlineLevel="0" max="3" min="3" style="0" width="48"/>
    <col collapsed="false" customWidth="true" hidden="false" outlineLevel="0" max="4" min="4" style="0" width="12"/>
    <col collapsed="false" customWidth="true" hidden="false" outlineLevel="0" max="6" min="5" style="1" width="48"/>
  </cols>
  <sheetData>
    <row r="1" customFormat="false" ht="18" hidden="false" customHeight="true" outlineLevel="0" collapsed="false">
      <c r="A1" s="8" t="s">
        <v>301</v>
      </c>
      <c r="B1" s="8"/>
      <c r="C1" s="8"/>
      <c r="D1" s="8"/>
      <c r="E1" s="8"/>
      <c r="F1" s="8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9" t="s">
        <v>302</v>
      </c>
      <c r="B3" s="9" t="s">
        <v>303</v>
      </c>
      <c r="C3" s="9" t="s">
        <v>304</v>
      </c>
      <c r="D3" s="9" t="s">
        <v>305</v>
      </c>
      <c r="E3" s="9" t="s">
        <v>306</v>
      </c>
      <c r="F3" s="9" t="s">
        <v>307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30" hidden="false" customHeight="true" outlineLevel="0" collapsed="false">
      <c r="A4" s="2" t="s">
        <v>85</v>
      </c>
      <c r="B4" s="34" t="n">
        <v>5800</v>
      </c>
      <c r="C4" s="34" t="n">
        <v>5800</v>
      </c>
      <c r="D4" s="33" t="n">
        <f aca="false">C4-B4</f>
        <v>0</v>
      </c>
      <c r="E4" s="5" t="s">
        <v>308</v>
      </c>
      <c r="F4" s="5" t="s">
        <v>309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0" hidden="false" customHeight="true" outlineLevel="0" collapsed="false">
      <c r="A5" s="2" t="s">
        <v>310</v>
      </c>
      <c r="B5" s="34" t="n">
        <v>-4346</v>
      </c>
      <c r="C5" s="32" t="n">
        <f aca="false">B4*21%</f>
        <v>1218</v>
      </c>
      <c r="D5" s="33" t="n">
        <f aca="false">C5-B5</f>
        <v>5564</v>
      </c>
      <c r="E5" s="5" t="s">
        <v>311</v>
      </c>
      <c r="F5" s="5" t="s">
        <v>312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30" hidden="false" customHeight="true" outlineLevel="0" collapsed="false">
      <c r="A6" s="2" t="s">
        <v>313</v>
      </c>
      <c r="B6" s="34" t="n">
        <v>10146</v>
      </c>
      <c r="C6" s="32" t="n">
        <f aca="false">C4-C5</f>
        <v>4582</v>
      </c>
      <c r="D6" s="33" t="n">
        <f aca="false">C6-B6</f>
        <v>-5564</v>
      </c>
      <c r="E6" s="5" t="s">
        <v>314</v>
      </c>
      <c r="F6" s="5" t="s">
        <v>315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2" t="s">
        <v>218</v>
      </c>
      <c r="B7" s="34" t="n">
        <v>-53</v>
      </c>
      <c r="C7" s="34" t="n">
        <v>-53</v>
      </c>
      <c r="D7" s="33" t="n">
        <f aca="false">C7-B7</f>
        <v>0</v>
      </c>
      <c r="E7" s="5" t="s">
        <v>75</v>
      </c>
      <c r="F7" s="5" t="s">
        <v>316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2" t="s">
        <v>88</v>
      </c>
      <c r="B8" s="34" t="n">
        <v>10093</v>
      </c>
      <c r="C8" s="32" t="n">
        <f aca="false">C6+C7</f>
        <v>4529</v>
      </c>
      <c r="D8" s="33" t="n">
        <f aca="false">C8-B8</f>
        <v>-5564</v>
      </c>
      <c r="E8" s="5" t="s">
        <v>314</v>
      </c>
      <c r="F8" s="5" t="s">
        <v>317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true" outlineLevel="0" collapsed="false">
      <c r="A9" s="2" t="s">
        <v>318</v>
      </c>
      <c r="B9" s="34" t="n">
        <v>40</v>
      </c>
      <c r="C9" s="34" t="n">
        <v>40</v>
      </c>
      <c r="D9" s="33" t="n">
        <f aca="false">C9-B9</f>
        <v>0</v>
      </c>
      <c r="E9" s="5" t="s">
        <v>75</v>
      </c>
      <c r="F9" s="5" t="s">
        <v>316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30" hidden="false" customHeight="true" outlineLevel="0" collapsed="false">
      <c r="A10" s="2" t="s">
        <v>90</v>
      </c>
      <c r="B10" s="34" t="n">
        <v>10053</v>
      </c>
      <c r="C10" s="32" t="n">
        <f aca="false">C8-C9</f>
        <v>4489</v>
      </c>
      <c r="D10" s="33" t="n">
        <f aca="false">C10-B10</f>
        <v>-5564</v>
      </c>
      <c r="E10" s="5" t="s">
        <v>314</v>
      </c>
      <c r="F10" s="5" t="s">
        <v>319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 t="s">
        <v>230</v>
      </c>
      <c r="B11" s="34" t="n">
        <v>2119.689</v>
      </c>
      <c r="C11" s="34" t="n">
        <v>2119.689</v>
      </c>
      <c r="D11" s="33" t="n">
        <f aca="false">C11-B11</f>
        <v>0</v>
      </c>
      <c r="E11" s="5" t="s">
        <v>75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30" hidden="false" customHeight="true" outlineLevel="0" collapsed="false">
      <c r="A12" s="2" t="s">
        <v>92</v>
      </c>
      <c r="B12" s="40" t="n">
        <v>4.73</v>
      </c>
      <c r="C12" s="36" t="n">
        <f aca="false">C10/C11</f>
        <v>2.11776350209866</v>
      </c>
      <c r="D12" s="39" t="n">
        <f aca="false">C12-B12</f>
        <v>-2.61223649790134</v>
      </c>
      <c r="E12" s="5" t="s">
        <v>320</v>
      </c>
      <c r="F12" s="5" t="s">
        <v>321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0" width="48"/>
    <col collapsed="false" customWidth="true" hidden="false" outlineLevel="0" max="5" min="5" style="1" width="10"/>
  </cols>
  <sheetData>
    <row r="1" customFormat="false" ht="18" hidden="false" customHeight="true" outlineLevel="0" collapsed="false">
      <c r="A1" s="8" t="s">
        <v>322</v>
      </c>
      <c r="B1" s="8"/>
      <c r="C1" s="8"/>
      <c r="D1" s="8"/>
      <c r="E1" s="8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9" t="s">
        <v>323</v>
      </c>
      <c r="B3" s="9" t="s">
        <v>48</v>
      </c>
      <c r="C3" s="9" t="s">
        <v>69</v>
      </c>
      <c r="D3" s="9" t="s">
        <v>65</v>
      </c>
      <c r="E3" s="9" t="s">
        <v>324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true" outlineLevel="0" collapsed="false">
      <c r="A4" s="2" t="s">
        <v>325</v>
      </c>
      <c r="B4" s="32" t="n">
        <f aca="false">Model!B8-'Historical Actuals'!B4</f>
        <v>0</v>
      </c>
      <c r="C4" s="32" t="n">
        <f aca="false">Model!C8-'Historical Actuals'!C4</f>
        <v>0</v>
      </c>
      <c r="D4" s="32" t="n">
        <f aca="false">Model!D8-'Historical Actuals'!D4</f>
        <v>0</v>
      </c>
      <c r="E4" s="41" t="s">
        <v>326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true" outlineLevel="0" collapsed="false">
      <c r="A5" s="2" t="s">
        <v>327</v>
      </c>
      <c r="B5" s="32" t="n">
        <f aca="false">Model!B20-'Historical Actuals'!B12</f>
        <v>0</v>
      </c>
      <c r="C5" s="32" t="n">
        <f aca="false">Model!C20-'Historical Actuals'!C12</f>
        <v>0</v>
      </c>
      <c r="D5" s="32" t="n">
        <f aca="false">Model!D20-'Historical Actuals'!D12</f>
        <v>0</v>
      </c>
      <c r="E5" s="41" t="s">
        <v>326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 t="s">
        <v>328</v>
      </c>
      <c r="B6" s="32" t="n">
        <f aca="false">Model!B30-'Historical Actuals'!B21</f>
        <v>0</v>
      </c>
      <c r="C6" s="32" t="n">
        <f aca="false">Model!C30-'Historical Actuals'!C21</f>
        <v>0</v>
      </c>
      <c r="D6" s="32" t="n">
        <f aca="false">Model!D30-'Historical Actuals'!D21</f>
        <v>0</v>
      </c>
      <c r="E6" s="41" t="s">
        <v>326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2" t="s">
        <v>329</v>
      </c>
      <c r="B7" s="32" t="n">
        <f aca="false">Model!B67-'Historical Actuals'!B44</f>
        <v>0</v>
      </c>
      <c r="C7" s="32" t="n">
        <f aca="false">Model!C67-'Historical Actuals'!C44</f>
        <v>0</v>
      </c>
      <c r="D7" s="32" t="n">
        <f aca="false">Model!D67-'Historical Actuals'!D44</f>
        <v>0</v>
      </c>
      <c r="E7" s="41" t="s">
        <v>326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2" t="s">
        <v>330</v>
      </c>
      <c r="B8" s="32" t="n">
        <f aca="false">Model!B86-'Historical Actuals'!B62</f>
        <v>0</v>
      </c>
      <c r="C8" s="32" t="n">
        <f aca="false">Model!C86-'Historical Actuals'!C62</f>
        <v>0</v>
      </c>
      <c r="D8" s="32" t="n">
        <f aca="false">Model!D86-'Historical Actuals'!D62</f>
        <v>0</v>
      </c>
      <c r="E8" s="41" t="s">
        <v>326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true" outlineLevel="0" collapsed="false">
      <c r="A9" s="2" t="s">
        <v>331</v>
      </c>
      <c r="B9" s="32" t="n">
        <f aca="false">'Historical Actuals'!B100-7004</f>
        <v>0</v>
      </c>
      <c r="C9" s="32" t="n">
        <f aca="false">'Historical Actuals'!C100-8610</f>
        <v>0</v>
      </c>
      <c r="D9" s="32" t="n">
        <f aca="false">'Historical Actuals'!D100-9647</f>
        <v>0</v>
      </c>
      <c r="E9" s="41" t="s">
        <v>326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true" outlineLevel="0" collapsed="false">
      <c r="A10" s="2" t="s">
        <v>332</v>
      </c>
      <c r="B10" s="32" t="s">
        <v>333</v>
      </c>
      <c r="C10" s="32" t="s">
        <v>333</v>
      </c>
      <c r="D10" s="32" t="s">
        <v>333</v>
      </c>
      <c r="E10" s="41" t="s">
        <v>326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2026-06-30T19:52:45Z</dcterms:created>
  <dc:creator/>
  <dc:description/>
  <dc:language>en-US</dc:language>
  <cp:lastModifiedBy/>
  <dcterms:modified xsi:type="dcterms:W3CDTF">2026-06-30T19:52:46Z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