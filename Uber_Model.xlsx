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c1c9c1ebb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2a02912c48646c6"/>
    <x:sheet xmlns:r="http://schemas.openxmlformats.org/officeDocument/2006/relationships" name="Sources" sheetId="2" r:id="R4781952568aa4fb4"/>
    <x:sheet xmlns:r="http://schemas.openxmlformats.org/officeDocument/2006/relationships" name="Historical Actuals" sheetId="3" r:id="R90d2180f1e4c4bba"/>
    <x:sheet xmlns:r="http://schemas.openxmlformats.org/officeDocument/2006/relationships" name="Segment Detail" sheetId="4" r:id="R1364498523d64b6e"/>
    <x:sheet xmlns:r="http://schemas.openxmlformats.org/officeDocument/2006/relationships" name="Assumptions" sheetId="5" r:id="Ra9ee629650d6402d"/>
    <x:sheet xmlns:r="http://schemas.openxmlformats.org/officeDocument/2006/relationships" name="Model" sheetId="6" r:id="R94e45fb6bbd3471b"/>
    <x:sheet xmlns:r="http://schemas.openxmlformats.org/officeDocument/2006/relationships" name="DCF" sheetId="7" r:id="R7ac8200724e64e4f"/>
    <x:sheet xmlns:r="http://schemas.openxmlformats.org/officeDocument/2006/relationships" name="Earnings Quality" sheetId="8" r:id="R1257e5957cab4618"/>
    <x:sheet xmlns:r="http://schemas.openxmlformats.org/officeDocument/2006/relationships" name="QA Checks" sheetId="9" r:id="Rc75fe45f7b9e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0.00;[Red](0.00);-"/>
    <x:numFmt numFmtId="203" formatCode="$0.00;[Red]($0.00);-"/>
  </x:numFmts>
  <x:fonts count="9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0" fontId="5" fillId="4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/>
    <x:xf numFmtId="200" fontId="5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200" fontId="6" fillId="0" borderId="0" xfId="0" applyNumberFormat="1" applyFont="1" applyFill="1" applyBorder="1"/>
    <x:xf numFmtId="200" fontId="5" fillId="3" borderId="0" xfId="0" applyNumberFormat="1" applyFont="1" applyFill="1" applyBorder="1" applyAlignment="1">
      <x:alignment horizontal="left"/>
    </x:xf>
    <x:xf numFmtId="200" fontId="7" fillId="3" borderId="0" xfId="0" applyNumberFormat="1" applyFont="1" applyFill="1" applyBorder="1" applyAlignment="1">
      <x:alignment horizontal="left"/>
    </x:xf>
    <x:xf numFmtId="200" fontId="6" fillId="0" borderId="1" xfId="0" applyNumberFormat="1" applyFont="1" applyFill="1" applyBorder="1"/>
    <x:xf numFmtId="200" fontId="5" fillId="3" borderId="1" xfId="0" applyNumberFormat="1" applyFont="1" applyFill="1" applyBorder="1" applyAlignment="1">
      <x:alignment horizontal="left"/>
    </x:xf>
    <x:xf numFmtId="200" fontId="7" fillId="3" borderId="1" xfId="0" applyNumberFormat="1" applyFont="1" applyFill="1" applyBorder="1" applyAlignment="1">
      <x:alignment horizontal="left"/>
    </x:xf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4" fillId="0" borderId="0" xfId="0" applyNumberFormat="1" applyFont="1" applyFill="1" applyBorder="1"/>
    <x:xf numFmtId="202" fontId="6" fillId="0" borderId="0" xfId="0" applyNumberFormat="1" applyFont="1" applyFill="1" applyBorder="1"/>
    <x:xf numFmtId="202" fontId="4" fillId="0" borderId="1" xfId="0" applyNumberFormat="1" applyFont="1" applyFill="1" applyBorder="1"/>
    <x:xf numFmtId="202" fontId="6" fillId="0" borderId="1" xfId="0" applyNumberFormat="1" applyFont="1" applyFill="1" applyBorder="1"/>
    <x:xf numFmtId="0" fontId="0" fillId="0" borderId="8" xfId="0" applyNumberFormat="1" applyFont="1" applyFill="1" applyBorder="1"/>
    <x:xf numFmtId="200" fontId="4" fillId="0" borderId="8" xfId="0" applyNumberFormat="1" applyFont="1" applyFill="1" applyBorder="1"/>
    <x:xf numFmtId="200" fontId="6" fillId="0" borderId="8" xfId="0" applyNumberFormat="1" applyFont="1" applyFill="1" applyBorder="1"/>
    <x:xf numFmtId="0" fontId="0" fillId="0" borderId="9" xfId="0" applyNumberFormat="1" applyFont="1" applyFill="1" applyBorder="1"/>
    <x:xf numFmtId="200" fontId="4" fillId="0" borderId="9" xfId="0" applyNumberFormat="1" applyFont="1" applyFill="1" applyBorder="1"/>
    <x:xf numFmtId="200" fontId="6" fillId="0" borderId="9" xfId="0" applyNumberFormat="1" applyFont="1" applyFill="1" applyBorder="1"/>
    <x:xf numFmtId="0" fontId="2" fillId="0" borderId="8" xfId="0" applyNumberFormat="1" applyFont="1" applyFill="1" applyBorder="1"/>
    <x:xf numFmtId="200" fontId="5" fillId="0" borderId="8" xfId="0" applyNumberFormat="1" applyFont="1" applyFill="1" applyBorder="1"/>
    <x:xf numFmtId="200" fontId="7" fillId="0" borderId="8" xfId="0" applyNumberFormat="1" applyFont="1" applyFill="1" applyBorder="1"/>
    <x:xf numFmtId="0" fontId="2" fillId="0" borderId="9" xfId="0" applyNumberFormat="1" applyFont="1" applyFill="1" applyBorder="1"/>
    <x:xf numFmtId="200" fontId="5" fillId="0" borderId="9" xfId="0" applyNumberFormat="1" applyFont="1" applyFill="1" applyBorder="1"/>
    <x:xf numFmtId="200" fontId="7" fillId="0" borderId="9" xfId="0" applyNumberFormat="1" applyFont="1" applyFill="1" applyBorder="1"/>
    <x:xf numFmtId="0" fontId="2" fillId="5" borderId="8" xfId="0" applyNumberFormat="1" applyFont="1" applyFill="1" applyBorder="1"/>
    <x:xf numFmtId="200" fontId="5" fillId="5" borderId="8" xfId="0" applyNumberFormat="1" applyFont="1" applyFill="1" applyBorder="1"/>
    <x:xf numFmtId="200" fontId="7" fillId="5" borderId="8" xfId="0" applyNumberFormat="1" applyFont="1" applyFill="1" applyBorder="1"/>
    <x:xf numFmtId="0" fontId="2" fillId="5" borderId="9" xfId="0" applyNumberFormat="1" applyFont="1" applyFill="1" applyBorder="1"/>
    <x:xf numFmtId="200" fontId="5" fillId="5" borderId="9" xfId="0" applyNumberFormat="1" applyFont="1" applyFill="1" applyBorder="1"/>
    <x:xf numFmtId="200" fontId="7" fillId="5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left" vertical="center"/>
    </x:xf>
    <x:xf numFmtId="200" fontId="7" fillId="3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200" fontId="7" fillId="5" borderId="8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horizontal="left" vertical="center"/>
    </x:xf>
    <x:xf numFmtId="200" fontId="7" fillId="3" borderId="1" xfId="0" applyNumberFormat="1" applyFont="1" applyFill="1" applyBorder="1" applyAlignment="1">
      <x:alignment horizontal="left" vertical="center"/>
    </x:xf>
    <x:xf numFmtId="202" fontId="4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200" fontId="5" fillId="5" borderId="9" xfId="0" applyNumberFormat="1" applyFont="1" applyFill="1" applyBorder="1" applyAlignment="1">
      <x:alignment vertical="center"/>
    </x:xf>
    <x:xf numFmtId="200" fontId="7" fillId="5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7" fillId="0" borderId="0" xfId="0" applyNumberFormat="1" applyFont="1" applyFill="1" applyBorder="1"/>
    <x:xf numFmtId="0" fontId="2" fillId="5" borderId="0" xfId="0" applyNumberFormat="1" applyFont="1" applyFill="1" applyBorder="1"/>
    <x:xf numFmtId="200" fontId="5" fillId="5" borderId="0" xfId="0" applyNumberFormat="1" applyFont="1" applyFill="1" applyBorder="1"/>
    <x:xf numFmtId="200" fontId="7" fillId="5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left" vertical="center"/>
    </x:xf>
    <x:xf numFmtId="200" fontId="5" fillId="7" borderId="0" xfId="0" applyNumberFormat="1" applyFont="1" applyFill="1" applyBorder="1" applyAlignment="1">
      <x:alignment horizontal="left" vertical="center"/>
    </x:xf>
    <x:xf numFmtId="200" fontId="7" fillId="7" borderId="0" xfId="0" applyNumberFormat="1" applyFont="1" applyFill="1" applyBorder="1" applyAlignment="1">
      <x:alignment horizontal="left" vertical="center"/>
    </x:xf>
    <x:xf numFmtId="200" fontId="3" fillId="7" borderId="0" xfId="0" applyNumberFormat="1" applyFont="1" applyFill="1" applyBorder="1" applyAlignment="1">
      <x:alignment horizontal="left" vertical="center"/>
    </x:xf>
    <x:xf numFmtId="0" fontId="2" fillId="0" borderId="10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0" fontId="7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2" fillId="8" borderId="10" xfId="0" applyNumberFormat="1" applyFont="1" applyFill="1" applyBorder="1" applyAlignment="1">
      <x:alignment vertical="center"/>
    </x:xf>
    <x:xf numFmtId="200" fontId="5" fillId="8" borderId="10" xfId="0" applyNumberFormat="1" applyFont="1" applyFill="1" applyBorder="1" applyAlignment="1">
      <x:alignment vertical="center"/>
    </x:xf>
    <x:xf numFmtId="200" fontId="7" fillId="8" borderId="1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e79e29b6f4ec5" /><Relationship Type="http://schemas.openxmlformats.org/officeDocument/2006/relationships/theme" Target="/xl/theme/theme1.xml" Id="Rf5599bbf888240a2" /><Relationship Type="http://schemas.openxmlformats.org/officeDocument/2006/relationships/sharedStrings" Target="/xl/sharedStrings.xml" Id="R745d1d2afbf648c1" /><Relationship Type="http://schemas.openxmlformats.org/officeDocument/2006/relationships/worksheet" Target="/xl/worksheets/sheet1.xml" Id="R52a02912c48646c6" /><Relationship Type="http://schemas.openxmlformats.org/officeDocument/2006/relationships/worksheet" Target="/xl/worksheets/sheet2.xml" Id="R4781952568aa4fb4" /><Relationship Type="http://schemas.openxmlformats.org/officeDocument/2006/relationships/worksheet" Target="/xl/worksheets/sheet3.xml" Id="R90d2180f1e4c4bba" /><Relationship Type="http://schemas.openxmlformats.org/officeDocument/2006/relationships/worksheet" Target="/xl/worksheets/sheet4.xml" Id="R1364498523d64b6e" /><Relationship Type="http://schemas.openxmlformats.org/officeDocument/2006/relationships/worksheet" Target="/xl/worksheets/sheet5.xml" Id="Ra9ee629650d6402d" /><Relationship Type="http://schemas.openxmlformats.org/officeDocument/2006/relationships/worksheet" Target="/xl/worksheets/sheet6.xml" Id="R94e45fb6bbd3471b" /><Relationship Type="http://schemas.openxmlformats.org/officeDocument/2006/relationships/worksheet" Target="/xl/worksheets/sheet7.xml" Id="R7ac8200724e64e4f" /><Relationship Type="http://schemas.openxmlformats.org/officeDocument/2006/relationships/worksheet" Target="/xl/worksheets/sheet8.xml" Id="R1257e5957cab4618" /><Relationship Type="http://schemas.openxmlformats.org/officeDocument/2006/relationships/worksheet" Target="/xl/worksheets/sheet9.xml" Id="Rc75fe45f7b9e4f12" /><Relationship Type="http://schemas.microsoft.com/office/2017/10/relationships/person" Target="/xl/persons/person.xml" Id="R63322c7827794108" /></Relationships>
</file>

<file path=xl/persons/person.xml><?xml version="1.0" encoding="utf-8"?>
<xltc:personList xmlns:xltc="http://schemas.microsoft.com/office/spreadsheetml/2018/threadedcomments">
  <xltc:person displayName="OpenAI" id="{5D47CFBA-6520-4FC8-A4EC-195B3678FEE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87.75" hidden="0" customWidth="1"/>
    <x:col min="3" max="3" width="79.5" hidden="0" customWidth="1"/>
    <x:col min="4" max="4" width="72.12999725341797" hidden="0" customWidth="1"/>
  </x:cols>
  <x:sheetData>
    <x:row r="1">
      <x:c r="A1" s="92"/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3" t="str">
        <x:v>Uber Technologies, Inc. (NYSE: UBER) — EDGAR-Tied 3-Statement Model &amp; DCF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/>
      <x:c r="B5" s="94" t="str">
        <x:v>Model date</x:v>
      </x:c>
      <x:c r="C5" s="92" t="str">
        <x:v>2026-06-24</x:v>
      </x:c>
      <x:c r="D5" s="92" t="str"/>
      <x:c r="E5" s="92"/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/>
      <x:c r="B6" s="94" t="str">
        <x:v>Currency / units</x:v>
      </x:c>
      <x:c r="C6" s="92" t="str">
        <x:v>USD $mm except per-share / share counts noted</x:v>
      </x:c>
      <x:c r="D6" s="92" t="str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/>
      <x:c r="B7" s="94" t="str">
        <x:v>Historical source</x:v>
      </x:c>
      <x:c r="C7" s="92" t="str">
        <x:v>Uber FY2025 10-K and FY2024 10-K filed on EDGAR</x:v>
      </x:c>
      <x:c r="D7" s="92" t="str">
        <x:v>https://www.sec.gov/Archives/edgar/data/1543151/000154315126000015/uber-20251231.htm</x:v>
      </x:c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/>
      <x:c r="B8" s="94" t="str">
        <x:v>Purpose</x:v>
      </x:c>
      <x:c r="C8" s="92" t="str">
        <x:v>Recruiter-ready modeling foundation: historical actuals tied to EDGAR, forecasts separated as assumptions</x:v>
      </x:c>
      <x:c r="D8" s="92" t="str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/>
      <x:c r="B9" s="94" t="str">
        <x:v>Color convention</x:v>
      </x:c>
      <x:c r="C9" s="92" t="str">
        <x:v>Blue = EDGAR hardcode / assumption; Black = formula; Green = intra-workbook link</x:v>
      </x:c>
      <x:c r="D9" s="92" t="str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/>
      <x:c r="B10" s="94" t="str">
        <x:v>Important note</x:v>
      </x:c>
      <x:c r="C10" s="92" t="str">
        <x:v>Forecast years are assumptions. Historical actuals are filing-tied. QA sheet contains tie-out checks.</x:v>
      </x:c>
      <x:c r="D10" s="92" t="str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/>
      <x:c r="B12" s="95" t="str">
        <x:v>Model contents</x:v>
      </x:c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/>
      <x:c r="B13" s="96" t="str">
        <x:v>Sources</x:v>
      </x:c>
      <x:c r="C13" s="92" t="str">
        <x:v>EDGAR URLs and source-line map for every historical statement section</x:v>
      </x:c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/>
      <x:c r="B14" s="96" t="str">
        <x:v>Historical Actuals</x:v>
      </x:c>
      <x:c r="C14" s="92" t="str">
        <x:v>Raw consolidated statements with exact historical hardcodes</x:v>
      </x:c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/>
      <x:c r="B15" s="96" t="str">
        <x:v>Segment Detail</x:v>
      </x:c>
      <x:c r="C15" s="92" t="str">
        <x:v>Mobility / Delivery / Freight revenue and segment Adj. EBITDA from Note 13</x:v>
      </x:c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/>
      <x:c r="B16" s="96" t="str">
        <x:v>Assumptions</x:v>
      </x:c>
      <x:c r="C16" s="92" t="str">
        <x:v>Forecast driver assumptions, WACC, terminal growth, and valuation bridge inputs</x:v>
      </x:c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/>
      <x:c r="B17" s="96" t="str">
        <x:v>Model</x:v>
      </x:c>
      <x:c r="C17" s="92" t="str">
        <x:v>Integrated operating model, cash flow, balance sheet roll-forward, and checks</x:v>
      </x:c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/>
      <x:c r="B18" s="96" t="str">
        <x:v>DCF</x:v>
      </x:c>
      <x:c r="C18" s="92" t="str">
        <x:v>Unlevered FCF valuation and sensitivity outputs</x:v>
      </x:c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/>
      <x:c r="B19" s="96" t="str">
        <x:v>Earnings Quality</x:v>
      </x:c>
      <x:c r="C19" s="92" t="str">
        <x:v>Reported vs normalized tax-effect / deferred tax benefit analysis</x:v>
      </x:c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/>
      <x:c r="B20" s="96" t="str">
        <x:v>QA Checks</x:v>
      </x:c>
      <x:c r="C20" s="92" t="str">
        <x:v>Tie-outs and formula error checkpoints</x:v>
      </x:c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B2:H2"/>
    <x:mergeCell ref="B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299991607666" hidden="0" customWidth="1"/>
    <x:col min="2" max="2" width="39.130001068115234" hidden="0" customWidth="1"/>
    <x:col min="3" max="3" width="11" hidden="0" customWidth="1"/>
    <x:col min="4" max="4" width="72.12999725341797" hidden="0" customWidth="1"/>
    <x:col min="5" max="5" width="34.380001068115234" hidden="0" customWidth="1"/>
    <x:col min="6" max="6" width="46.880001068115234" hidden="0" customWidth="1"/>
  </x:cols>
  <x:sheetData>
    <x:row r="1">
      <x:c r="A1" s="19" t="str">
        <x:v>Source Map — Uber Technologies, Inc.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26" t="str">
        <x:v>Section</x:v>
      </x:c>
      <x:c r="B3" s="26" t="str">
        <x:v>Statement / Note</x:v>
      </x:c>
      <x:c r="C3" s="26" t="str">
        <x:v>Periods</x:v>
      </x:c>
      <x:c r="D3" s="26" t="str">
        <x:v>Source URL</x:v>
      </x:c>
      <x:c r="E3" s="26" t="str">
        <x:v>Relevant filing lines</x:v>
      </x:c>
      <x:c r="F3" s="26" t="str">
        <x:v>Use in model</x:v>
      </x:c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102" t="str">
        <x:v>Income Statement</x:v>
      </x:c>
      <x:c r="B4" s="102" t="str">
        <x:v>Consolidated Statements of Operations</x:v>
      </x:c>
      <x:c r="C4" s="102" t="str">
        <x:v>2023A–2025A</x:v>
      </x:c>
      <x:c r="D4" s="103" t="str">
        <x:v>https://www.sec.gov/Archives/edgar/data/1543151/000154315126000015/uber-20251231.htm</x:v>
      </x:c>
      <x:c r="E4" s="102" t="str">
        <x:v>FY2025 10-K lines 2400–2428</x:v>
      </x:c>
      <x:c r="F4" s="102" t="str">
        <x:v>Historical actuals in Historical Actuals and Model</x:v>
      </x:c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102" t="str">
        <x:v>Balance Sheet</x:v>
      </x:c>
      <x:c r="B5" s="102" t="str">
        <x:v>Consolidated Balance Sheets</x:v>
      </x:c>
      <x:c r="C5" s="102" t="str">
        <x:v>2024A–2025A</x:v>
      </x:c>
      <x:c r="D5" s="103" t="str">
        <x:v>https://www.sec.gov/Archives/edgar/data/1543151/000154315126000015/uber-20251231.htm</x:v>
      </x:c>
      <x:c r="E5" s="102" t="str">
        <x:v>FY2025 10-K lines 2344–2391</x:v>
      </x:c>
      <x:c r="F5" s="102" t="str">
        <x:v>Historical actual balance sheet</x:v>
      </x:c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102" t="str">
        <x:v>Balance Sheet</x:v>
      </x:c>
      <x:c r="B6" s="102" t="str">
        <x:v>Consolidated Balance Sheets</x:v>
      </x:c>
      <x:c r="C6" s="102" t="str">
        <x:v>2023A</x:v>
      </x:c>
      <x:c r="D6" s="103" t="str">
        <x:v>https://www.sec.gov/Archives/edgar/data/1543151/000154315125000008/uber-20241231.htm</x:v>
      </x:c>
      <x:c r="E6" s="102" t="str">
        <x:v>FY2024 10-K lines 2363–2410</x:v>
      </x:c>
      <x:c r="F6" s="102" t="str">
        <x:v>2023A historical balance sheet</x:v>
      </x:c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102" t="str">
        <x:v>Cash Flow</x:v>
      </x:c>
      <x:c r="B7" s="102" t="str">
        <x:v>Consolidated Statements of Cash Flows</x:v>
      </x:c>
      <x:c r="C7" s="102" t="str">
        <x:v>2023A–2025A</x:v>
      </x:c>
      <x:c r="D7" s="103" t="str">
        <x:v>https://www.sec.gov/Archives/edgar/data/1543151/000154315126000015/uber-20251231.htm</x:v>
      </x:c>
      <x:c r="E7" s="102" t="str">
        <x:v>FY2025 10-K lines 2541–2599</x:v>
      </x:c>
      <x:c r="F7" s="102" t="str">
        <x:v>Historical actual cash flow and cash bridge</x:v>
      </x:c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102" t="str">
        <x:v>Segment Detail</x:v>
      </x:c>
      <x:c r="B8" s="102" t="str">
        <x:v>Note 13 — Segment Information</x:v>
      </x:c>
      <x:c r="C8" s="102" t="str">
        <x:v>2023A–2025A</x:v>
      </x:c>
      <x:c r="D8" s="103" t="str">
        <x:v>https://www.sec.gov/Archives/edgar/data/1543151/000154315126000015/uber-20251231.htm</x:v>
      </x:c>
      <x:c r="E8" s="102" t="str">
        <x:v>FY2025 10-K lines 3898–4013</x:v>
      </x:c>
      <x:c r="F8" s="102" t="str">
        <x:v>Mobility / Delivery / Freight revenue and segment Adj. EBITDA</x:v>
      </x:c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102" t="str">
        <x:v>Geographic Revenue</x:v>
      </x:c>
      <x:c r="B9" s="102" t="str">
        <x:v>Note 13 — Geographic Information</x:v>
      </x:c>
      <x:c r="C9" s="102" t="str">
        <x:v>2023A–2025A</x:v>
      </x:c>
      <x:c r="D9" s="103" t="str">
        <x:v>https://www.sec.gov/Archives/edgar/data/1543151/000154315126000015/uber-20251231.htm</x:v>
      </x:c>
      <x:c r="E9" s="102" t="str">
        <x:v>FY2025 10-K lines 4024–4040</x:v>
      </x:c>
      <x:c r="F9" s="102" t="str">
        <x:v>Reference only / source support</x:v>
      </x:c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104" t="str">
        <x:v>Tax normalization</x:v>
      </x:c>
      <x:c r="B10" s="104" t="str">
        <x:v>Statement of Operations + Cash Flow deferred taxes</x:v>
      </x:c>
      <x:c r="C10" s="104" t="str">
        <x:v>2025A</x:v>
      </x:c>
      <x:c r="D10" s="105" t="str">
        <x:v>https://www.sec.gov/Archives/edgar/data/1543151/000154315126000015/uber-20251231.htm</x:v>
      </x:c>
      <x:c r="E10" s="104" t="str">
        <x:v>FY2025 10-K lines 2417–2419 and 2551–2553</x:v>
      </x:c>
      <x:c r="F10" s="104" t="str">
        <x:v>Earnings quality normalization</x:v>
      </x:c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5" max="5" width="35" hidden="0" customWidth="1"/>
  </x:cols>
  <x:sheetData>
    <x:row r="1">
      <x:c r="A1" s="19" t="str">
        <x:v>Historical Actuals — Direct from EDGAR ($mm unless noted)</x:v>
      </x:c>
      <x:c r="B1" s="92"/>
      <x:c r="C1" s="92"/>
      <x:c r="D1" s="92"/>
      <x:c r="E1" s="110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9" t="str">
        <x:v>Income Statement</x:v>
      </x:c>
      <x:c r="B3" s="19" t="str">
        <x:v>2023A</x:v>
      </x:c>
      <x:c r="C3" s="19" t="str">
        <x:v>2024A</x:v>
      </x:c>
      <x:c r="D3" s="19" t="str">
        <x:v>2025A</x:v>
      </x:c>
      <x:c r="E3" s="19" t="str">
        <x:v>Source</x:v>
      </x:c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Revenue</x:v>
      </x:c>
      <x:c r="B4" s="111" t="n">
        <x:v>37281</x:v>
      </x:c>
      <x:c r="C4" s="111" t="n">
        <x:v>43978</x:v>
      </x:c>
      <x:c r="D4" s="111" t="n">
        <x:v>52017</x:v>
      </x:c>
      <x:c r="E4" s="92" t="str">
        <x:v>FY2025 10-K, Consolidated Statements of Operations</x:v>
      </x:c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Cost of revenue, excl. D&amp;A</x:v>
      </x:c>
      <x:c r="B5" s="111" t="n">
        <x:v>22457</x:v>
      </x:c>
      <x:c r="C5" s="111" t="n">
        <x:v>26651</x:v>
      </x:c>
      <x:c r="D5" s="111" t="n">
        <x:v>31338</x:v>
      </x:c>
      <x:c r="E5" s="92" t="str">
        <x:v>FY2025 10-K, Consolidated Statements of Operations</x:v>
      </x:c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Operations and support</x:v>
      </x:c>
      <x:c r="B6" s="111" t="n">
        <x:v>2689</x:v>
      </x:c>
      <x:c r="C6" s="111" t="n">
        <x:v>2732</x:v>
      </x:c>
      <x:c r="D6" s="111" t="n">
        <x:v>2854</x:v>
      </x:c>
      <x:c r="E6" s="92" t="str">
        <x:v>FY2025 10-K</x:v>
      </x:c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Sales and marketing</x:v>
      </x:c>
      <x:c r="B7" s="111" t="n">
        <x:v>4356</x:v>
      </x:c>
      <x:c r="C7" s="111" t="n">
        <x:v>4337</x:v>
      </x:c>
      <x:c r="D7" s="111" t="n">
        <x:v>4898</x:v>
      </x:c>
      <x:c r="E7" s="92" t="str">
        <x:v>FY2025 10-K</x:v>
      </x:c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 t="str">
        <x:v>Research and development</x:v>
      </x:c>
      <x:c r="B8" s="111" t="n">
        <x:v>3164</x:v>
      </x:c>
      <x:c r="C8" s="111" t="n">
        <x:v>3109</x:v>
      </x:c>
      <x:c r="D8" s="111" t="n">
        <x:v>3402</x:v>
      </x:c>
      <x:c r="E8" s="92" t="str">
        <x:v>FY2025 10-K</x:v>
      </x:c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General and administrative</x:v>
      </x:c>
      <x:c r="B9" s="111" t="n">
        <x:v>2682</x:v>
      </x:c>
      <x:c r="C9" s="111" t="n">
        <x:v>3639</x:v>
      </x:c>
      <x:c r="D9" s="111" t="n">
        <x:v>3241</x:v>
      </x:c>
      <x:c r="E9" s="92" t="str">
        <x:v>FY2025 10-K</x:v>
      </x:c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Depreciation and amortization</x:v>
      </x:c>
      <x:c r="B10" s="111" t="n">
        <x:v>823</x:v>
      </x:c>
      <x:c r="C10" s="111" t="n">
        <x:v>711</x:v>
      </x:c>
      <x:c r="D10" s="111" t="n">
        <x:v>719</x:v>
      </x:c>
      <x:c r="E10" s="92" t="str">
        <x:v>FY2025 10-K</x:v>
      </x:c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Total costs and expenses</x:v>
      </x:c>
      <x:c r="B11" s="111" t="n">
        <x:v>36171</x:v>
      </x:c>
      <x:c r="C11" s="111" t="n">
        <x:v>41179</x:v>
      </x:c>
      <x:c r="D11" s="111" t="n">
        <x:v>46452</x:v>
      </x:c>
      <x:c r="E11" s="92" t="str">
        <x:v>FY2025 10-K</x:v>
      </x:c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Income from operations</x:v>
      </x:c>
      <x:c r="B12" s="111" t="n">
        <x:v>1110</x:v>
      </x:c>
      <x:c r="C12" s="111" t="n">
        <x:v>2799</x:v>
      </x:c>
      <x:c r="D12" s="111" t="n">
        <x:v>5565</x:v>
      </x:c>
      <x:c r="E12" s="92" t="str">
        <x:v>FY2025 10-K</x:v>
      </x:c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 t="str">
        <x:v>Interest expense</x:v>
      </x:c>
      <x:c r="B13" s="111" t="n">
        <x:v>-633</x:v>
      </x:c>
      <x:c r="C13" s="111" t="n">
        <x:v>-523</x:v>
      </x:c>
      <x:c r="D13" s="111" t="n">
        <x:v>-440</x:v>
      </x:c>
      <x:c r="E13" s="92" t="str">
        <x:v>FY2025 10-K</x:v>
      </x:c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 t="str">
        <x:v>Interest income</x:v>
      </x:c>
      <x:c r="B14" s="111" t="n">
        <x:v>484</x:v>
      </x:c>
      <x:c r="C14" s="111" t="n">
        <x:v>721</x:v>
      </x:c>
      <x:c r="D14" s="111" t="n">
        <x:v>743</x:v>
      </x:c>
      <x:c r="E14" s="92" t="str">
        <x:v>FY2025 10-K</x:v>
      </x:c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 t="str">
        <x:v>Other income (expense), net</x:v>
      </x:c>
      <x:c r="B15" s="111" t="n">
        <x:v>1360</x:v>
      </x:c>
      <x:c r="C15" s="111" t="n">
        <x:v>1128</x:v>
      </x:c>
      <x:c r="D15" s="111" t="n">
        <x:v>-68</x:v>
      </x:c>
      <x:c r="E15" s="92" t="str">
        <x:v>FY2025 10-K</x:v>
      </x:c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 t="str">
        <x:v>Income before taxes and equity method</x:v>
      </x:c>
      <x:c r="B16" s="111" t="n">
        <x:v>2321</x:v>
      </x:c>
      <x:c r="C16" s="111" t="n">
        <x:v>4125</x:v>
      </x:c>
      <x:c r="D16" s="111" t="n">
        <x:v>5800</x:v>
      </x:c>
      <x:c r="E16" s="92" t="str">
        <x:v>FY2025 10-K</x:v>
      </x:c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 t="str">
        <x:v>Provision for (benefit from) income taxes</x:v>
      </x:c>
      <x:c r="B17" s="111" t="n">
        <x:v>213</x:v>
      </x:c>
      <x:c r="C17" s="111" t="n">
        <x:v>-5758</x:v>
      </x:c>
      <x:c r="D17" s="111" t="n">
        <x:v>-4346</x:v>
      </x:c>
      <x:c r="E17" s="92" t="str">
        <x:v>FY2025 10-K</x:v>
      </x:c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 t="str">
        <x:v>Income (loss) from equity method investments</x:v>
      </x:c>
      <x:c r="B18" s="111" t="n">
        <x:v>48</x:v>
      </x:c>
      <x:c r="C18" s="111" t="n">
        <x:v>-38</x:v>
      </x:c>
      <x:c r="D18" s="111" t="n">
        <x:v>-53</x:v>
      </x:c>
      <x:c r="E18" s="92" t="str">
        <x:v>FY2025 10-K</x:v>
      </x:c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 t="str">
        <x:v>Net income incl. NCI</x:v>
      </x:c>
      <x:c r="B19" s="111" t="n">
        <x:v>2156</x:v>
      </x:c>
      <x:c r="C19" s="111" t="n">
        <x:v>9845</x:v>
      </x:c>
      <x:c r="D19" s="111" t="n">
        <x:v>10093</x:v>
      </x:c>
      <x:c r="E19" s="92" t="str">
        <x:v>FY2025 10-K</x:v>
      </x:c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 t="str">
        <x:v>Less: net income attributable to NCI</x:v>
      </x:c>
      <x:c r="B20" s="111" t="n">
        <x:v>269</x:v>
      </x:c>
      <x:c r="C20" s="111" t="n">
        <x:v>-11</x:v>
      </x:c>
      <x:c r="D20" s="111" t="n">
        <x:v>40</x:v>
      </x:c>
      <x:c r="E20" s="92" t="str">
        <x:v>FY2025 10-K</x:v>
      </x:c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 t="str">
        <x:v>Net income attributable to Uber</x:v>
      </x:c>
      <x:c r="B21" s="111" t="n">
        <x:v>1887</x:v>
      </x:c>
      <x:c r="C21" s="111" t="n">
        <x:v>9856</x:v>
      </x:c>
      <x:c r="D21" s="111" t="n">
        <x:v>10053</x:v>
      </x:c>
      <x:c r="E21" s="92" t="str">
        <x:v>FY2025 10-K</x:v>
      </x:c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 t="str">
        <x:v>Basic EPS</x:v>
      </x:c>
      <x:c r="B22" s="111" t="n">
        <x:v>0.93</x:v>
      </x:c>
      <x:c r="C22" s="111" t="n">
        <x:v>4.71</x:v>
      </x:c>
      <x:c r="D22" s="111" t="n">
        <x:v>4.82</x:v>
      </x:c>
      <x:c r="E22" s="92" t="str">
        <x:v>FY2025 10-K</x:v>
      </x:c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 t="str">
        <x:v>Diluted EPS</x:v>
      </x:c>
      <x:c r="B23" s="111" t="n">
        <x:v>0.87</x:v>
      </x:c>
      <x:c r="C23" s="111" t="n">
        <x:v>4.56</x:v>
      </x:c>
      <x:c r="D23" s="111" t="n">
        <x:v>4.73</x:v>
      </x:c>
      <x:c r="E23" s="92" t="str">
        <x:v>FY2025 10-K</x:v>
      </x:c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 t="str">
        <x:v>Basic weighted-average shares (000s)</x:v>
      </x:c>
      <x:c r="B24" s="111" t="n">
        <x:v>2035651</x:v>
      </x:c>
      <x:c r="C24" s="111" t="n">
        <x:v>2094602</x:v>
      </x:c>
      <x:c r="D24" s="111" t="n">
        <x:v>2085253</x:v>
      </x:c>
      <x:c r="E24" s="92" t="str">
        <x:v>FY2025 10-K</x:v>
      </x:c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 t="str">
        <x:v>Diluted weighted-average shares (000s)</x:v>
      </x:c>
      <x:c r="B25" s="111" t="n">
        <x:v>2091782</x:v>
      </x:c>
      <x:c r="C25" s="111" t="n">
        <x:v>2150508</x:v>
      </x:c>
      <x:c r="D25" s="111" t="n">
        <x:v>2119689</x:v>
      </x:c>
      <x:c r="E25" s="92" t="str">
        <x:v>FY2025 10-K</x:v>
      </x:c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111"/>
      <x:c r="C26" s="111"/>
      <x:c r="D26" s="111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19" t="str">
        <x:v>Balance Sheet</x:v>
      </x:c>
      <x:c r="B27" s="41" t="str">
        <x:v>2023A</x:v>
      </x:c>
      <x:c r="C27" s="41" t="str">
        <x:v>2024A</x:v>
      </x:c>
      <x:c r="D27" s="41" t="str">
        <x:v>2025A</x:v>
      </x:c>
      <x:c r="E27" s="19" t="str">
        <x:v>Source</x:v>
      </x:c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 t="str">
        <x:v>Cash and cash equivalents</x:v>
      </x:c>
      <x:c r="B28" s="111" t="n">
        <x:v>4680</x:v>
      </x:c>
      <x:c r="C28" s="111" t="n">
        <x:v>5893</x:v>
      </x:c>
      <x:c r="D28" s="111" t="n">
        <x:v>7105</x:v>
      </x:c>
      <x:c r="E28" s="92" t="str">
        <x:v>2023A from FY2024 10-K; 2024A-2025A from FY2025 10-K</x:v>
      </x:c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 t="str">
        <x:v>Short-term investments</x:v>
      </x:c>
      <x:c r="B29" s="111" t="n">
        <x:v>727</x:v>
      </x:c>
      <x:c r="C29" s="111" t="n">
        <x:v>1084</x:v>
      </x:c>
      <x:c r="D29" s="111" t="n">
        <x:v>528</x:v>
      </x:c>
      <x:c r="E29" s="92" t="str">
        <x:v>EDGAR 10-K</x:v>
      </x:c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 t="str">
        <x:v>Restricted cash and cash equivalents, current</x:v>
      </x:c>
      <x:c r="B30" s="111" t="n">
        <x:v>805</x:v>
      </x:c>
      <x:c r="C30" s="111" t="n">
        <x:v>545</x:v>
      </x:c>
      <x:c r="D30" s="111" t="n">
        <x:v>631</x:v>
      </x:c>
      <x:c r="E30" s="92" t="str">
        <x:v>EDGAR 10-K</x:v>
      </x:c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 t="str">
        <x:v>Accounts receivable, net</x:v>
      </x:c>
      <x:c r="B31" s="111" t="n">
        <x:v>3404</x:v>
      </x:c>
      <x:c r="C31" s="111" t="n">
        <x:v>3333</x:v>
      </x:c>
      <x:c r="D31" s="111" t="n">
        <x:v>3827</x:v>
      </x:c>
      <x:c r="E31" s="92" t="str">
        <x:v>EDGAR 10-K</x:v>
      </x:c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 t="str">
        <x:v>Prepaid expenses and other current assets</x:v>
      </x:c>
      <x:c r="B32" s="111" t="n">
        <x:v>1681</x:v>
      </x:c>
      <x:c r="C32" s="111" t="n">
        <x:v>1390</x:v>
      </x:c>
      <x:c r="D32" s="111" t="n">
        <x:v>1902</x:v>
      </x:c>
      <x:c r="E32" s="92" t="str">
        <x:v>EDGAR 10-K</x:v>
      </x:c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 t="str">
        <x:v>Total current assets</x:v>
      </x:c>
      <x:c r="B33" s="111" t="n">
        <x:v>11297</x:v>
      </x:c>
      <x:c r="C33" s="111" t="n">
        <x:v>12245</x:v>
      </x:c>
      <x:c r="D33" s="111" t="n">
        <x:v>13993</x:v>
      </x:c>
      <x:c r="E33" s="92" t="str">
        <x:v>EDGAR 10-K</x:v>
      </x:c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 t="str">
        <x:v>Restricted cash and cash equivalents, non-current</x:v>
      </x:c>
      <x:c r="B34" s="111" t="n">
        <x:v>1519</x:v>
      </x:c>
      <x:c r="C34" s="111" t="n">
        <x:v>2172</x:v>
      </x:c>
      <x:c r="D34" s="111" t="n">
        <x:v>1911</x:v>
      </x:c>
      <x:c r="E34" s="92" t="str">
        <x:v>EDGAR 10-K</x:v>
      </x:c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 t="str">
        <x:v>Restricted investments</x:v>
      </x:c>
      <x:c r="B35" s="111" t="n">
        <x:v>4779</x:v>
      </x:c>
      <x:c r="C35" s="111" t="n">
        <x:v>7019</x:v>
      </x:c>
      <x:c r="D35" s="111" t="n">
        <x:v>8874</x:v>
      </x:c>
      <x:c r="E35" s="92" t="str">
        <x:v>EDGAR 10-K</x:v>
      </x:c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 t="str">
        <x:v>Investments</x:v>
      </x:c>
      <x:c r="B36" s="111" t="n">
        <x:v>6101</x:v>
      </x:c>
      <x:c r="C36" s="111" t="n">
        <x:v>8460</x:v>
      </x:c>
      <x:c r="D36" s="111" t="n">
        <x:v>9178</x:v>
      </x:c>
      <x:c r="E36" s="92" t="str">
        <x:v>EDGAR 10-K</x:v>
      </x:c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 t="str">
        <x:v>Equity method investments</x:v>
      </x:c>
      <x:c r="B37" s="111" t="n">
        <x:v>353</x:v>
      </x:c>
      <x:c r="C37" s="111" t="n">
        <x:v>302</x:v>
      </x:c>
      <x:c r="D37" s="111" t="n">
        <x:v>287</x:v>
      </x:c>
      <x:c r="E37" s="92" t="str">
        <x:v>EDGAR 10-K</x:v>
      </x:c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 t="str">
        <x:v>Property and equipment, net</x:v>
      </x:c>
      <x:c r="B38" s="111" t="n">
        <x:v>2073</x:v>
      </x:c>
      <x:c r="C38" s="111" t="n">
        <x:v>1952</x:v>
      </x:c>
      <x:c r="D38" s="111" t="n">
        <x:v>1897</x:v>
      </x:c>
      <x:c r="E38" s="92" t="str">
        <x:v>EDGAR 10-K</x:v>
      </x:c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 t="str">
        <x:v>Operating lease ROU assets</x:v>
      </x:c>
      <x:c r="B39" s="111" t="n">
        <x:v>1241</x:v>
      </x:c>
      <x:c r="C39" s="111" t="n">
        <x:v>1158</x:v>
      </x:c>
      <x:c r="D39" s="111" t="n">
        <x:v>1114</x:v>
      </x:c>
      <x:c r="E39" s="92" t="str">
        <x:v>EDGAR 10-K</x:v>
      </x:c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 t="str">
        <x:v>Intangible assets, net</x:v>
      </x:c>
      <x:c r="B40" s="111" t="n">
        <x:v>1425</x:v>
      </x:c>
      <x:c r="C40" s="111" t="n">
        <x:v>1125</x:v>
      </x:c>
      <x:c r="D40" s="111" t="n">
        <x:v>1048</x:v>
      </x:c>
      <x:c r="E40" s="92" t="str">
        <x:v>EDGAR 10-K</x:v>
      </x:c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 t="str">
        <x:v>Goodwill</x:v>
      </x:c>
      <x:c r="B41" s="111" t="n">
        <x:v>8151</x:v>
      </x:c>
      <x:c r="C41" s="111" t="n">
        <x:v>8066</x:v>
      </x:c>
      <x:c r="D41" s="111" t="n">
        <x:v>8931</x:v>
      </x:c>
      <x:c r="E41" s="92" t="str">
        <x:v>EDGAR 10-K</x:v>
      </x:c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 t="str">
        <x:v>Deferred tax assets</x:v>
      </x:c>
      <x:c r="B42" s="111" t="n">
        <x:v>170</x:v>
      </x:c>
      <x:c r="C42" s="111" t="n">
        <x:v>6171</x:v>
      </x:c>
      <x:c r="D42" s="111" t="n">
        <x:v>10951</x:v>
      </x:c>
      <x:c r="E42" s="92" t="str">
        <x:v>EDGAR 10-K</x:v>
      </x:c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 t="str">
        <x:v>Other assets</x:v>
      </x:c>
      <x:c r="B43" s="111" t="n">
        <x:v>1590</x:v>
      </x:c>
      <x:c r="C43" s="111" t="n">
        <x:v>2574</x:v>
      </x:c>
      <x:c r="D43" s="111" t="n">
        <x:v>3618</x:v>
      </x:c>
      <x:c r="E43" s="92" t="str">
        <x:v>EDGAR 10-K</x:v>
      </x:c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 t="str">
        <x:v>Total assets</x:v>
      </x:c>
      <x:c r="B44" s="111" t="n">
        <x:v>38699</x:v>
      </x:c>
      <x:c r="C44" s="111" t="n">
        <x:v>51244</x:v>
      </x:c>
      <x:c r="D44" s="111" t="n">
        <x:v>61802</x:v>
      </x:c>
      <x:c r="E44" s="92" t="str">
        <x:v>EDGAR 10-K</x:v>
      </x:c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 t="str">
        <x:v>Accounts payable</x:v>
      </x:c>
      <x:c r="B45" s="111" t="n">
        <x:v>790</x:v>
      </x:c>
      <x:c r="C45" s="111" t="n">
        <x:v>858</x:v>
      </x:c>
      <x:c r="D45" s="111" t="n">
        <x:v>1013</x:v>
      </x:c>
      <x:c r="E45" s="92" t="str">
        <x:v>EDGAR 10-K</x:v>
      </x:c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 t="str">
        <x:v>Short-term insurance reserves</x:v>
      </x:c>
      <x:c r="B46" s="111" t="n">
        <x:v>2077</x:v>
      </x:c>
      <x:c r="C46" s="111" t="n">
        <x:v>2754</x:v>
      </x:c>
      <x:c r="D46" s="111" t="n">
        <x:v>3387</x:v>
      </x:c>
      <x:c r="E46" s="92" t="str">
        <x:v>EDGAR 10-K</x:v>
      </x:c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 t="str">
        <x:v>Operating lease liabilities, current</x:v>
      </x:c>
      <x:c r="B47" s="111" t="n">
        <x:v>190</x:v>
      </x:c>
      <x:c r="C47" s="111" t="n">
        <x:v>175</x:v>
      </x:c>
      <x:c r="D47" s="111" t="n">
        <x:v>169</x:v>
      </x:c>
      <x:c r="E47" s="92" t="str">
        <x:v>EDGAR 10-K</x:v>
      </x:c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 t="str">
        <x:v>Accrued and other current liabilities</x:v>
      </x:c>
      <x:c r="B48" s="111" t="n">
        <x:v>6397</x:v>
      </x:c>
      <x:c r="C48" s="111" t="n">
        <x:v>7689</x:v>
      </x:c>
      <x:c r="D48" s="111" t="n">
        <x:v>7751</x:v>
      </x:c>
      <x:c r="E48" s="92" t="str">
        <x:v>EDGAR 10-K</x:v>
      </x:c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 t="str">
        <x:v>Total current liabilities</x:v>
      </x:c>
      <x:c r="B49" s="111" t="n">
        <x:v>9454</x:v>
      </x:c>
      <x:c r="C49" s="111" t="n">
        <x:v>11476</x:v>
      </x:c>
      <x:c r="D49" s="111" t="n">
        <x:v>12320</x:v>
      </x:c>
      <x:c r="E49" s="92" t="str">
        <x:v>EDGAR 10-K</x:v>
      </x:c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 t="str">
        <x:v>Long-term insurance reserves</x:v>
      </x:c>
      <x:c r="B50" s="111" t="n">
        <x:v>4909</x:v>
      </x:c>
      <x:c r="C50" s="111" t="n">
        <x:v>7042</x:v>
      </x:c>
      <x:c r="D50" s="111" t="n">
        <x:v>9076</x:v>
      </x:c>
      <x:c r="E50" s="92" t="str">
        <x:v>EDGAR 10-K</x:v>
      </x:c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 t="str">
        <x:v>Long-term debt, net of current portion</x:v>
      </x:c>
      <x:c r="B51" s="111" t="n">
        <x:v>9459</x:v>
      </x:c>
      <x:c r="C51" s="111" t="n">
        <x:v>8347</x:v>
      </x:c>
      <x:c r="D51" s="111" t="n">
        <x:v>10521</x:v>
      </x:c>
      <x:c r="E51" s="92" t="str">
        <x:v>EDGAR 10-K</x:v>
      </x:c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 t="str">
        <x:v>Operating lease liabilities, non-current</x:v>
      </x:c>
      <x:c r="B52" s="111" t="n">
        <x:v>1550</x:v>
      </x:c>
      <x:c r="C52" s="111" t="n">
        <x:v>1454</x:v>
      </x:c>
      <x:c r="D52" s="111" t="n">
        <x:v>1390</x:v>
      </x:c>
      <x:c r="E52" s="92" t="str">
        <x:v>EDGAR 10-K</x:v>
      </x:c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 t="str">
        <x:v>Other long-term liabilities</x:v>
      </x:c>
      <x:c r="B53" s="111" t="n">
        <x:v>645</x:v>
      </x:c>
      <x:c r="C53" s="111" t="n">
        <x:v>449</x:v>
      </x:c>
      <x:c r="D53" s="111" t="n">
        <x:v>412</x:v>
      </x:c>
      <x:c r="E53" s="92" t="str">
        <x:v>EDGAR 10-K</x:v>
      </x:c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 t="str">
        <x:v>Total liabilities</x:v>
      </x:c>
      <x:c r="B54" s="111" t="n">
        <x:v>26017</x:v>
      </x:c>
      <x:c r="C54" s="111" t="n">
        <x:v>28768</x:v>
      </x:c>
      <x:c r="D54" s="111" t="n">
        <x:v>33719</x:v>
      </x:c>
      <x:c r="E54" s="92" t="str">
        <x:v>EDGAR 10-K</x:v>
      </x:c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 t="str">
        <x:v>Redeemable non-controlling interests</x:v>
      </x:c>
      <x:c r="B55" s="111" t="n">
        <x:v>654</x:v>
      </x:c>
      <x:c r="C55" s="111" t="n">
        <x:v>93</x:v>
      </x:c>
      <x:c r="D55" s="111" t="n">
        <x:v>165</x:v>
      </x:c>
      <x:c r="E55" s="92" t="str">
        <x:v>EDGAR 10-K</x:v>
      </x:c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 t="str">
        <x:v>Additional paid-in capital</x:v>
      </x:c>
      <x:c r="B56" s="111" t="n">
        <x:v>42264</x:v>
      </x:c>
      <x:c r="C56" s="111" t="n">
        <x:v>42801</x:v>
      </x:c>
      <x:c r="D56" s="111" t="n">
        <x:v>38101</x:v>
      </x:c>
      <x:c r="E56" s="92" t="str">
        <x:v>EDGAR 10-K</x:v>
      </x:c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 t="str">
        <x:v>Accumulated other comprehensive loss</x:v>
      </x:c>
      <x:c r="B57" s="111" t="n">
        <x:v>-421</x:v>
      </x:c>
      <x:c r="C57" s="111" t="n">
        <x:v>-517</x:v>
      </x:c>
      <x:c r="D57" s="111" t="n">
        <x:v>-432</x:v>
      </x:c>
      <x:c r="E57" s="92" t="str">
        <x:v>EDGAR 10-K</x:v>
      </x:c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 t="str">
        <x:v>Accumulated deficit</x:v>
      </x:c>
      <x:c r="B58" s="111" t="n">
        <x:v>-30594</x:v>
      </x:c>
      <x:c r="C58" s="111" t="n">
        <x:v>-20726</x:v>
      </x:c>
      <x:c r="D58" s="111" t="n">
        <x:v>-10628</x:v>
      </x:c>
      <x:c r="E58" s="92" t="str">
        <x:v>EDGAR 10-K</x:v>
      </x:c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 t="str">
        <x:v>Total Uber stockholders' equity</x:v>
      </x:c>
      <x:c r="B59" s="111" t="n">
        <x:v>11249</x:v>
      </x:c>
      <x:c r="C59" s="111" t="n">
        <x:v>21558</x:v>
      </x:c>
      <x:c r="D59" s="111" t="n">
        <x:v>27041</x:v>
      </x:c>
      <x:c r="E59" s="92" t="str">
        <x:v>EDGAR 10-K</x:v>
      </x:c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 t="str">
        <x:v>Non-redeemable non-controlling interests</x:v>
      </x:c>
      <x:c r="B60" s="111" t="n">
        <x:v>779</x:v>
      </x:c>
      <x:c r="C60" s="111" t="n">
        <x:v>825</x:v>
      </x:c>
      <x:c r="D60" s="111" t="n">
        <x:v>877</x:v>
      </x:c>
      <x:c r="E60" s="92" t="str">
        <x:v>EDGAR 10-K</x:v>
      </x:c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 t="str">
        <x:v>Total equity</x:v>
      </x:c>
      <x:c r="B61" s="111" t="n">
        <x:v>12028</x:v>
      </x:c>
      <x:c r="C61" s="111" t="n">
        <x:v>22383</x:v>
      </x:c>
      <x:c r="D61" s="111" t="n">
        <x:v>27918</x:v>
      </x:c>
      <x:c r="E61" s="92" t="str">
        <x:v>EDGAR 10-K</x:v>
      </x:c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 t="str">
        <x:v>Total liabilities, redeemable NCI and equity</x:v>
      </x:c>
      <x:c r="B62" s="111" t="n">
        <x:v>38699</x:v>
      </x:c>
      <x:c r="C62" s="111" t="n">
        <x:v>51244</x:v>
      </x:c>
      <x:c r="D62" s="111" t="n">
        <x:v>61802</x:v>
      </x:c>
      <x:c r="E62" s="92" t="str">
        <x:v>EDGAR 10-K</x:v>
      </x:c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111"/>
      <x:c r="C63" s="111"/>
      <x:c r="D63" s="111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19" t="str">
        <x:v>Cash Flow Statement</x:v>
      </x:c>
      <x:c r="B64" s="41" t="str">
        <x:v>2023A</x:v>
      </x:c>
      <x:c r="C64" s="41" t="str">
        <x:v>2024A</x:v>
      </x:c>
      <x:c r="D64" s="41" t="str">
        <x:v>2025A</x:v>
      </x:c>
      <x:c r="E64" s="19" t="str">
        <x:v>Source</x:v>
      </x:c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 t="str">
        <x:v>Net income incl. NCI</x:v>
      </x:c>
      <x:c r="B65" s="111" t="n">
        <x:v>2156</x:v>
      </x:c>
      <x:c r="C65" s="111" t="n">
        <x:v>9845</x:v>
      </x:c>
      <x:c r="D65" s="111" t="n">
        <x:v>10093</x:v>
      </x:c>
      <x:c r="E65" s="92" t="str">
        <x:v>FY2025 10-K CFS</x:v>
      </x:c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 t="str">
        <x:v>Depreciation and amortization</x:v>
      </x:c>
      <x:c r="B66" s="111" t="n">
        <x:v>823</x:v>
      </x:c>
      <x:c r="C66" s="111" t="n">
        <x:v>737</x:v>
      </x:c>
      <x:c r="D66" s="111" t="n">
        <x:v>747</x:v>
      </x:c>
      <x:c r="E66" s="92" t="str">
        <x:v>FY2025 10-K CFS</x:v>
      </x:c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 t="str">
        <x:v>Stock-based compensation</x:v>
      </x:c>
      <x:c r="B67" s="111" t="n">
        <x:v>1935</x:v>
      </x:c>
      <x:c r="C67" s="111" t="n">
        <x:v>1796</x:v>
      </x:c>
      <x:c r="D67" s="111" t="n">
        <x:v>1826</x:v>
      </x:c>
      <x:c r="E67" s="92" t="str">
        <x:v>FY2025 10-K CFS</x:v>
      </x:c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 t="str">
        <x:v>Deferred income taxes</x:v>
      </x:c>
      <x:c r="B68" s="111" t="n">
        <x:v>26</x:v>
      </x:c>
      <x:c r="C68" s="111" t="n">
        <x:v>-6027</x:v>
      </x:c>
      <x:c r="D68" s="111" t="n">
        <x:v>-4779</x:v>
      </x:c>
      <x:c r="E68" s="92" t="str">
        <x:v>FY2025 10-K CFS</x:v>
      </x:c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 t="str">
        <x:v>Accretion of discounts on marketable debt securities, net</x:v>
      </x:c>
      <x:c r="B69" s="111" t="n">
        <x:v>-154</x:v>
      </x:c>
      <x:c r="C69" s="111" t="n">
        <x:v>-251</x:v>
      </x:c>
      <x:c r="D69" s="111" t="n">
        <x:v>-158</x:v>
      </x:c>
      <x:c r="E69" s="92" t="str">
        <x:v>FY2025 10-K CFS</x:v>
      </x:c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 t="str">
        <x:v>Unrealized (gain) loss on debt and equity securities, net</x:v>
      </x:c>
      <x:c r="B70" s="111" t="n">
        <x:v>-1610</x:v>
      </x:c>
      <x:c r="C70" s="111" t="n">
        <x:v>-1832</x:v>
      </x:c>
      <x:c r="D70" s="111" t="n">
        <x:v>97</x:v>
      </x:c>
      <x:c r="E70" s="92" t="str">
        <x:v>FY2025 10-K CFS</x:v>
      </x:c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 t="str">
        <x:v>Unrealized foreign currency transactions</x:v>
      </x:c>
      <x:c r="B71" s="111" t="n">
        <x:v>138</x:v>
      </x:c>
      <x:c r="C71" s="111" t="n">
        <x:v>308</x:v>
      </x:c>
      <x:c r="D71" s="111" t="n">
        <x:v>-120</x:v>
      </x:c>
      <x:c r="E71" s="92" t="str">
        <x:v>FY2025 10-K CFS</x:v>
      </x:c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 t="str">
        <x:v>Other</x:v>
      </x:c>
      <x:c r="B72" s="111" t="n">
        <x:v>106</x:v>
      </x:c>
      <x:c r="C72" s="111" t="n">
        <x:v>187</x:v>
      </x:c>
      <x:c r="D72" s="111" t="n">
        <x:v>166</x:v>
      </x:c>
      <x:c r="E72" s="92" t="str">
        <x:v>FY2025 10-K CFS</x:v>
      </x:c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 t="str">
        <x:v>Accounts receivable</x:v>
      </x:c>
      <x:c r="B73" s="111" t="n">
        <x:v>-758</x:v>
      </x:c>
      <x:c r="C73" s="111" t="n">
        <x:v>-142</x:v>
      </x:c>
      <x:c r="D73" s="111" t="n">
        <x:v>-466</x:v>
      </x:c>
      <x:c r="E73" s="92" t="str">
        <x:v>FY2025 10-K CFS</x:v>
      </x:c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 t="str">
        <x:v>Prepaid expenses and other assets</x:v>
      </x:c>
      <x:c r="B74" s="111" t="n">
        <x:v>-1462</x:v>
      </x:c>
      <x:c r="C74" s="111" t="n">
        <x:v>-694</x:v>
      </x:c>
      <x:c r="D74" s="111" t="n">
        <x:v>-1028</x:v>
      </x:c>
      <x:c r="E74" s="92" t="str">
        <x:v>FY2025 10-K CFS</x:v>
      </x:c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 t="str">
        <x:v>Operating lease ROU assets</x:v>
      </x:c>
      <x:c r="B75" s="111" t="n">
        <x:v>191</x:v>
      </x:c>
      <x:c r="C75" s="111" t="n">
        <x:v>196</x:v>
      </x:c>
      <x:c r="D75" s="111" t="n">
        <x:v>177</x:v>
      </x:c>
      <x:c r="E75" s="92" t="str">
        <x:v>FY2025 10-K CFS</x:v>
      </x:c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 t="str">
        <x:v>Accounts payable</x:v>
      </x:c>
      <x:c r="B76" s="111" t="n">
        <x:v>64</x:v>
      </x:c>
      <x:c r="C76" s="111" t="n">
        <x:v>86</x:v>
      </x:c>
      <x:c r="D76" s="111" t="n">
        <x:v>126</x:v>
      </x:c>
      <x:c r="E76" s="92" t="str">
        <x:v>FY2025 10-K CFS</x:v>
      </x:c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 t="str">
        <x:v>Accrued insurance reserves</x:v>
      </x:c>
      <x:c r="B77" s="111" t="n">
        <x:v>2230</x:v>
      </x:c>
      <x:c r="C77" s="111" t="n">
        <x:v>2819</x:v>
      </x:c>
      <x:c r="D77" s="111" t="n">
        <x:v>2660</x:v>
      </x:c>
      <x:c r="E77" s="92" t="str">
        <x:v>FY2025 10-K CFS</x:v>
      </x:c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 t="str">
        <x:v>Accrued expenses and other liabilities</x:v>
      </x:c>
      <x:c r="B78" s="111" t="n">
        <x:v>80</x:v>
      </x:c>
      <x:c r="C78" s="111" t="n">
        <x:v>330</x:v>
      </x:c>
      <x:c r="D78" s="111" t="n">
        <x:v>967</x:v>
      </x:c>
      <x:c r="E78" s="92" t="str">
        <x:v>FY2025 10-K CFS</x:v>
      </x:c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 t="str">
        <x:v>Operating lease liabilities</x:v>
      </x:c>
      <x:c r="B79" s="111" t="n">
        <x:v>-180</x:v>
      </x:c>
      <x:c r="C79" s="111" t="n">
        <x:v>-221</x:v>
      </x:c>
      <x:c r="D79" s="111" t="n">
        <x:v>-209</x:v>
      </x:c>
      <x:c r="E79" s="92" t="str">
        <x:v>FY2025 10-K CFS</x:v>
      </x:c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 t="str">
        <x:v>Net cash provided by operating activities</x:v>
      </x:c>
      <x:c r="B80" s="111" t="n">
        <x:v>3585</x:v>
      </x:c>
      <x:c r="C80" s="111" t="n">
        <x:v>7137</x:v>
      </x:c>
      <x:c r="D80" s="111" t="n">
        <x:v>10099</x:v>
      </x:c>
      <x:c r="E80" s="92" t="str">
        <x:v>FY2025 10-K CFS</x:v>
      </x:c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 t="str">
        <x:v>Purchases of property and equipment</x:v>
      </x:c>
      <x:c r="B81" s="111" t="n">
        <x:v>-223</x:v>
      </x:c>
      <x:c r="C81" s="111" t="n">
        <x:v>-242</x:v>
      </x:c>
      <x:c r="D81" s="111" t="n">
        <x:v>-336</x:v>
      </x:c>
      <x:c r="E81" s="92" t="str">
        <x:v>FY2025 10-K CFS</x:v>
      </x:c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 t="str">
        <x:v>Purchases of non-marketable equity securities</x:v>
      </x:c>
      <x:c r="B82" s="111" t="n">
        <x:v>-52</x:v>
      </x:c>
      <x:c r="C82" s="111" t="n">
        <x:v>-289</x:v>
      </x:c>
      <x:c r="D82" s="111" t="n">
        <x:v>-676</x:v>
      </x:c>
      <x:c r="E82" s="92" t="str">
        <x:v>FY2025 10-K CFS</x:v>
      </x:c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 t="str">
        <x:v>Purchases of marketable securities</x:v>
      </x:c>
      <x:c r="B83" s="111" t="n">
        <x:v>-8774</x:v>
      </x:c>
      <x:c r="C83" s="111" t="n">
        <x:v>-12765</x:v>
      </x:c>
      <x:c r="D83" s="111" t="n">
        <x:v>-21447</x:v>
      </x:c>
      <x:c r="E83" s="92" t="str">
        <x:v>FY2025 10-K CFS</x:v>
      </x:c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 t="str">
        <x:v>Proceeds from maturities/sales of marketable securities</x:v>
      </x:c>
      <x:c r="B84" s="111" t="n">
        <x:v>5069</x:v>
      </x:c>
      <x:c r="C84" s="111" t="n">
        <x:v>10204</x:v>
      </x:c>
      <x:c r="D84" s="111" t="n">
        <x:v>20046</x:v>
      </x:c>
      <x:c r="E84" s="92" t="str">
        <x:v>FY2025 10-K CFS</x:v>
      </x:c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 t="str">
        <x:v>Proceeds from sale of equity method investments</x:v>
      </x:c>
      <x:c r="B85" s="111" t="n">
        <x:v>721</x:v>
      </x:c>
      <x:c r="C85" s="111" t="n">
        <x:v>17</x:v>
      </x:c>
      <x:c r="D85" s="111" t="n">
        <x:v>0</x:v>
      </x:c>
      <x:c r="E85" s="92" t="str">
        <x:v>FY2025 10-K CFS</x:v>
      </x:c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 t="str">
        <x:v>Acquisition of businesses, net of cash acquired</x:v>
      </x:c>
      <x:c r="B86" s="111" t="n">
        <x:v>0</x:v>
      </x:c>
      <x:c r="C86" s="111" t="n">
        <x:v>0</x:v>
      </x:c>
      <x:c r="D86" s="111" t="n">
        <x:v>-815</x:v>
      </x:c>
      <x:c r="E86" s="92" t="str">
        <x:v>FY2025 10-K CFS</x:v>
      </x:c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 t="str">
        <x:v>Other investing activities</x:v>
      </x:c>
      <x:c r="B87" s="111" t="n">
        <x:v>33</x:v>
      </x:c>
      <x:c r="C87" s="111" t="n">
        <x:v>-102</x:v>
      </x:c>
      <x:c r="D87" s="111" t="n">
        <x:v>-336</x:v>
      </x:c>
      <x:c r="E87" s="92" t="str">
        <x:v>FY2025 10-K CFS</x:v>
      </x:c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 t="str">
        <x:v>Net cash used in investing activities</x:v>
      </x:c>
      <x:c r="B88" s="111" t="n">
        <x:v>-3226</x:v>
      </x:c>
      <x:c r="C88" s="111" t="n">
        <x:v>-3177</x:v>
      </x:c>
      <x:c r="D88" s="111" t="n">
        <x:v>-3564</x:v>
      </x:c>
      <x:c r="E88" s="92" t="str">
        <x:v>FY2025 10-K CFS</x:v>
      </x:c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 t="str">
        <x:v>Issuance of term loan and notes</x:v>
      </x:c>
      <x:c r="B89" s="111" t="n">
        <x:v>2824</x:v>
      </x:c>
      <x:c r="C89" s="111" t="n">
        <x:v>3972</x:v>
      </x:c>
      <x:c r="D89" s="111" t="n">
        <x:v>3359</x:v>
      </x:c>
      <x:c r="E89" s="92" t="str">
        <x:v>FY2025 10-K CFS</x:v>
      </x:c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 t="str">
        <x:v>Principal repayment on term loan and notes</x:v>
      </x:c>
      <x:c r="B90" s="111" t="n">
        <x:v>-2675</x:v>
      </x:c>
      <x:c r="C90" s="111" t="n">
        <x:v>-3986</x:v>
      </x:c>
      <x:c r="D90" s="111" t="n">
        <x:v>-2350</x:v>
      </x:c>
      <x:c r="E90" s="92" t="str">
        <x:v>FY2025 10-K CFS</x:v>
      </x:c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 t="str">
        <x:v>Principal payments on finance leases</x:v>
      </x:c>
      <x:c r="B91" s="111" t="n">
        <x:v>-171</x:v>
      </x:c>
      <x:c r="C91" s="111" t="n">
        <x:v>-172</x:v>
      </x:c>
      <x:c r="D91" s="111" t="n">
        <x:v>-157</x:v>
      </x:c>
      <x:c r="E91" s="92" t="str">
        <x:v>FY2025 10-K CFS</x:v>
      </x:c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 t="str">
        <x:v>ESPP proceeds</x:v>
      </x:c>
      <x:c r="B92" s="111" t="n">
        <x:v>130</x:v>
      </x:c>
      <x:c r="C92" s="111" t="n">
        <x:v>156</x:v>
      </x:c>
      <x:c r="D92" s="111" t="n">
        <x:v>183</x:v>
      </x:c>
      <x:c r="E92" s="92" t="str">
        <x:v>FY2025 10-K CFS</x:v>
      </x:c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 t="str">
        <x:v>Repurchases of common stock</x:v>
      </x:c>
      <x:c r="B93" s="111" t="n">
        <x:v>0</x:v>
      </x:c>
      <x:c r="C93" s="111" t="n">
        <x:v>-1252</x:v>
      </x:c>
      <x:c r="D93" s="111" t="n">
        <x:v>-6523</x:v>
      </x:c>
      <x:c r="E93" s="92" t="str">
        <x:v>FY2025 10-K CFS</x:v>
      </x:c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 t="str">
        <x:v>Redemption of non-controlling interests</x:v>
      </x:c>
      <x:c r="B94" s="111" t="n">
        <x:v>0</x:v>
      </x:c>
      <x:c r="C94" s="111" t="n">
        <x:v>-851</x:v>
      </x:c>
      <x:c r="D94" s="111" t="n">
        <x:v>-109</x:v>
      </x:c>
      <x:c r="E94" s="92" t="str">
        <x:v>FY2025 10-K CFS</x:v>
      </x:c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 t="str">
        <x:v>Other financing activities</x:v>
      </x:c>
      <x:c r="B95" s="111" t="n">
        <x:v>-203</x:v>
      </x:c>
      <x:c r="C95" s="111" t="n">
        <x:v>46</x:v>
      </x:c>
      <x:c r="D95" s="111" t="n">
        <x:v>-116</x:v>
      </x:c>
      <x:c r="E95" s="92" t="str">
        <x:v>FY2025 10-K CFS</x:v>
      </x:c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 t="str">
        <x:v>Net cash used in financing activities</x:v>
      </x:c>
      <x:c r="B96" s="111" t="n">
        <x:v>-95</x:v>
      </x:c>
      <x:c r="C96" s="111" t="n">
        <x:v>-2087</x:v>
      </x:c>
      <x:c r="D96" s="111" t="n">
        <x:v>-5713</x:v>
      </x:c>
      <x:c r="E96" s="92" t="str">
        <x:v>FY2025 10-K CFS</x:v>
      </x:c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 t="str">
        <x:v>FX effect on cash</x:v>
      </x:c>
      <x:c r="B97" s="111" t="n">
        <x:v>63</x:v>
      </x:c>
      <x:c r="C97" s="111" t="n">
        <x:v>-267</x:v>
      </x:c>
      <x:c r="D97" s="111" t="n">
        <x:v>215</x:v>
      </x:c>
      <x:c r="E97" s="92" t="str">
        <x:v>FY2025 10-K CFS</x:v>
      </x:c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 t="str">
        <x:v>Net increase in cash and restricted cash</x:v>
      </x:c>
      <x:c r="B98" s="111" t="n">
        <x:v>327</x:v>
      </x:c>
      <x:c r="C98" s="111" t="n">
        <x:v>1606</x:v>
      </x:c>
      <x:c r="D98" s="111" t="n">
        <x:v>1037</x:v>
      </x:c>
      <x:c r="E98" s="92" t="str">
        <x:v>FY2025 10-K CFS</x:v>
      </x:c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 t="str">
        <x:v>Beginning cash and restricted cash</x:v>
      </x:c>
      <x:c r="B99" s="111" t="n">
        <x:v>6677</x:v>
      </x:c>
      <x:c r="C99" s="111" t="n">
        <x:v>7004</x:v>
      </x:c>
      <x:c r="D99" s="111" t="n">
        <x:v>8610</x:v>
      </x:c>
      <x:c r="E99" s="92" t="str">
        <x:v>FY2025 10-K CFS</x:v>
      </x:c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 t="str">
        <x:v>Ending cash and restricted cash</x:v>
      </x:c>
      <x:c r="B100" s="111" t="n">
        <x:v>7004</x:v>
      </x:c>
      <x:c r="C100" s="111" t="n">
        <x:v>8610</x:v>
      </x:c>
      <x:c r="D100" s="111" t="n">
        <x:v>9647</x:v>
      </x:c>
      <x:c r="E100" s="92" t="str">
        <x:v>FY2025 10-K CFS</x:v>
      </x:c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5" max="5" width="30" hidden="0" customWidth="1"/>
  </x:cols>
  <x:sheetData>
    <x:row r="1">
      <x:c r="A1" s="19" t="str">
        <x:v>Segment Detail — Note 13 ($mm)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9" t="str">
        <x:v>Revenue by segment</x:v>
      </x:c>
      <x:c r="B3" s="19" t="str">
        <x:v>2023A</x:v>
      </x:c>
      <x:c r="C3" s="19" t="str">
        <x:v>2024A</x:v>
      </x:c>
      <x:c r="D3" s="19" t="str">
        <x:v>2025A</x:v>
      </x:c>
      <x:c r="E3" s="19" t="str">
        <x:v>Source</x:v>
      </x:c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Mobility revenue</x:v>
      </x:c>
      <x:c r="B4" s="111" t="n">
        <x:v>19832</x:v>
      </x:c>
      <x:c r="C4" s="111" t="n">
        <x:v>25087</x:v>
      </x:c>
      <x:c r="D4" s="111" t="n">
        <x:v>29670</x:v>
      </x:c>
      <x:c r="E4" s="92" t="str">
        <x:v>FY2025 10-K Note 13</x:v>
      </x:c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Delivery revenue</x:v>
      </x:c>
      <x:c r="B5" s="111" t="n">
        <x:v>12204</x:v>
      </x:c>
      <x:c r="C5" s="111" t="n">
        <x:v>13750</x:v>
      </x:c>
      <x:c r="D5" s="111" t="n">
        <x:v>17248</x:v>
      </x:c>
      <x:c r="E5" s="92" t="str">
        <x:v>FY2025 10-K Note 13</x:v>
      </x:c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Freight revenue</x:v>
      </x:c>
      <x:c r="B6" s="111" t="n">
        <x:v>5245</x:v>
      </x:c>
      <x:c r="C6" s="111" t="n">
        <x:v>5141</x:v>
      </x:c>
      <x:c r="D6" s="111" t="n">
        <x:v>5099</x:v>
      </x:c>
      <x:c r="E6" s="92" t="str">
        <x:v>FY2025 10-K Note 13</x:v>
      </x:c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Total revenue</x:v>
      </x:c>
      <x:c r="B7" s="111" t="n">
        <x:v>37281</x:v>
      </x:c>
      <x:c r="C7" s="111" t="n">
        <x:v>43978</x:v>
      </x:c>
      <x:c r="D7" s="111" t="n">
        <x:v>52017</x:v>
      </x:c>
      <x:c r="E7" s="92" t="str">
        <x:v>FY2025 10-K Note 13</x:v>
      </x:c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/>
      <x:c r="B8" s="111"/>
      <x:c r="C8" s="111"/>
      <x:c r="D8" s="111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19" t="str">
        <x:v>Segment Adj. EBITDA</x:v>
      </x:c>
      <x:c r="B9" s="41" t="str">
        <x:v>2023A</x:v>
      </x:c>
      <x:c r="C9" s="41" t="str">
        <x:v>2024A</x:v>
      </x:c>
      <x:c r="D9" s="41" t="str">
        <x:v>2025A</x:v>
      </x:c>
      <x:c r="E9" s="19" t="str">
        <x:v>Source</x:v>
      </x:c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Mobility Adj. EBITDA</x:v>
      </x:c>
      <x:c r="B10" s="111" t="n">
        <x:v>4963</x:v>
      </x:c>
      <x:c r="C10" s="111" t="n">
        <x:v>6497</x:v>
      </x:c>
      <x:c r="D10" s="111" t="n">
        <x:v>7899</x:v>
      </x:c>
      <x:c r="E10" s="92" t="str">
        <x:v>FY2025 10-K Note 13</x:v>
      </x:c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Delivery Adj. EBITDA</x:v>
      </x:c>
      <x:c r="B11" s="111" t="n">
        <x:v>1506</x:v>
      </x:c>
      <x:c r="C11" s="111" t="n">
        <x:v>2471</x:v>
      </x:c>
      <x:c r="D11" s="111" t="n">
        <x:v>3572</x:v>
      </x:c>
      <x:c r="E11" s="92" t="str">
        <x:v>FY2025 10-K Note 13</x:v>
      </x:c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Freight Adj. EBITDA</x:v>
      </x:c>
      <x:c r="B12" s="111" t="n">
        <x:v>-64</x:v>
      </x:c>
      <x:c r="C12" s="111" t="n">
        <x:v>-74</x:v>
      </x:c>
      <x:c r="D12" s="111" t="n">
        <x:v>-33</x:v>
      </x:c>
      <x:c r="E12" s="92" t="str">
        <x:v>FY2025 10-K Note 13</x:v>
      </x:c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 t="str">
        <x:v>Total segment Adj. EBITDA</x:v>
      </x:c>
      <x:c r="B13" s="111" t="n">
        <x:v>6405</x:v>
      </x:c>
      <x:c r="C13" s="111" t="n">
        <x:v>8894</x:v>
      </x:c>
      <x:c r="D13" s="111" t="n">
        <x:v>11438</x:v>
      </x:c>
      <x:c r="E13" s="92" t="str">
        <x:v>FY2025 10-K Note 13</x:v>
      </x:c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/>
      <x:c r="B14" s="111"/>
      <x:c r="C14" s="111"/>
      <x:c r="D14" s="111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19" t="str">
        <x:v>Segment Direct Transaction Costs</x:v>
      </x:c>
      <x:c r="B15" s="41" t="str">
        <x:v>2023A</x:v>
      </x:c>
      <x:c r="C15" s="41" t="str">
        <x:v>2024A</x:v>
      </x:c>
      <x:c r="D15" s="41" t="str">
        <x:v>2025A</x:v>
      </x:c>
      <x:c r="E15" s="19" t="str">
        <x:v>Source</x:v>
      </x:c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 t="str">
        <x:v>Mobility direct transaction costs</x:v>
      </x:c>
      <x:c r="B16" s="111" t="n">
        <x:v>-5130</x:v>
      </x:c>
      <x:c r="C16" s="111" t="n">
        <x:v>-6884</x:v>
      </x:c>
      <x:c r="D16" s="111" t="n">
        <x:v>-8683</x:v>
      </x:c>
      <x:c r="E16" s="92" t="str">
        <x:v>FY2025 10-K Note 13</x:v>
      </x:c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 t="str">
        <x:v>Delivery direct transaction costs</x:v>
      </x:c>
      <x:c r="B17" s="111" t="n">
        <x:v>-5329</x:v>
      </x:c>
      <x:c r="C17" s="111" t="n">
        <x:v>-5591</x:v>
      </x:c>
      <x:c r="D17" s="111" t="n">
        <x:v>-7097</x:v>
      </x:c>
      <x:c r="E17" s="92" t="str">
        <x:v>FY2025 10-K Note 13</x:v>
      </x:c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 t="str">
        <x:v>Freight direct transaction costs</x:v>
      </x:c>
      <x:c r="B18" s="111" t="n">
        <x:v>-4714</x:v>
      </x:c>
      <x:c r="C18" s="111" t="n">
        <x:v>-4652</x:v>
      </x:c>
      <x:c r="D18" s="111" t="n">
        <x:v>-4583</x:v>
      </x:c>
      <x:c r="E18" s="92" t="str">
        <x:v>FY2025 10-K Note 13</x:v>
      </x:c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 t="str">
        <x:v>Total direct transaction costs</x:v>
      </x:c>
      <x:c r="B19" s="111" t="n">
        <x:v>-15173</x:v>
      </x:c>
      <x:c r="C19" s="111" t="n">
        <x:v>-17127</x:v>
      </x:c>
      <x:c r="D19" s="111" t="n">
        <x:v>-20363</x:v>
      </x:c>
      <x:c r="E19" s="92" t="str">
        <x:v>FY2025 10-K Note 13</x:v>
      </x:c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/>
      <x:c r="B20" s="111"/>
      <x:c r="C20" s="111"/>
      <x:c r="D20" s="111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19" t="str">
        <x:v>Segment Other Costs</x:v>
      </x:c>
      <x:c r="B21" s="41" t="str">
        <x:v>2023A</x:v>
      </x:c>
      <x:c r="C21" s="41" t="str">
        <x:v>2024A</x:v>
      </x:c>
      <x:c r="D21" s="41" t="str">
        <x:v>2025A</x:v>
      </x:c>
      <x:c r="E21" s="19" t="str">
        <x:v>Source</x:v>
      </x:c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 t="str">
        <x:v>Mobility other costs</x:v>
      </x:c>
      <x:c r="B22" s="111" t="n">
        <x:v>-9739</x:v>
      </x:c>
      <x:c r="C22" s="111" t="n">
        <x:v>-11706</x:v>
      </x:c>
      <x:c r="D22" s="111" t="n">
        <x:v>-13088</x:v>
      </x:c>
      <x:c r="E22" s="92" t="str">
        <x:v>FY2025 10-K Note 13</x:v>
      </x:c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 t="str">
        <x:v>Delivery other costs</x:v>
      </x:c>
      <x:c r="B23" s="111" t="n">
        <x:v>-5369</x:v>
      </x:c>
      <x:c r="C23" s="111" t="n">
        <x:v>-5688</x:v>
      </x:c>
      <x:c r="D23" s="111" t="n">
        <x:v>-6579</x:v>
      </x:c>
      <x:c r="E23" s="92" t="str">
        <x:v>FY2025 10-K Note 13</x:v>
      </x:c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 t="str">
        <x:v>Freight other costs</x:v>
      </x:c>
      <x:c r="B24" s="111" t="n">
        <x:v>-595</x:v>
      </x:c>
      <x:c r="C24" s="111" t="n">
        <x:v>-563</x:v>
      </x:c>
      <x:c r="D24" s="111" t="n">
        <x:v>-549</x:v>
      </x:c>
      <x:c r="E24" s="92" t="str">
        <x:v>FY2025 10-K Note 13</x:v>
      </x:c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 t="str">
        <x:v>Total other costs</x:v>
      </x:c>
      <x:c r="B25" s="111" t="n">
        <x:v>-15703</x:v>
      </x:c>
      <x:c r="C25" s="111" t="n">
        <x:v>-17957</x:v>
      </x:c>
      <x:c r="D25" s="111" t="n">
        <x:v>-20216</x:v>
      </x:c>
      <x:c r="E25" s="92" t="str">
        <x:v>FY2025 10-K Note 13</x:v>
      </x:c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111"/>
      <x:c r="C26" s="111"/>
      <x:c r="D26" s="111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19" t="str">
        <x:v>Reconciliation to Income from Operations</x:v>
      </x:c>
      <x:c r="B27" s="41" t="str">
        <x:v>2023A</x:v>
      </x:c>
      <x:c r="C27" s="41" t="str">
        <x:v>2024A</x:v>
      </x:c>
      <x:c r="D27" s="41" t="str">
        <x:v>2025A</x:v>
      </x:c>
      <x:c r="E27" s="19" t="str">
        <x:v>Source</x:v>
      </x:c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 t="str">
        <x:v>Total segment Adj. EBITDA</x:v>
      </x:c>
      <x:c r="B28" s="111" t="n">
        <x:v>6405</x:v>
      </x:c>
      <x:c r="C28" s="111" t="n">
        <x:v>8894</x:v>
      </x:c>
      <x:c r="D28" s="111" t="n">
        <x:v>11438</x:v>
      </x:c>
      <x:c r="E28" s="92" t="str">
        <x:v>FY2025 10-K Note 13</x:v>
      </x:c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 t="str">
        <x:v>Corporate G&amp;A and Platform R&amp;D</x:v>
      </x:c>
      <x:c r="B29" s="111" t="n">
        <x:v>-2353</x:v>
      </x:c>
      <x:c r="C29" s="111" t="n">
        <x:v>-2410</x:v>
      </x:c>
      <x:c r="D29" s="111" t="n">
        <x:v>-2708</x:v>
      </x:c>
      <x:c r="E29" s="92" t="str">
        <x:v>FY2025 10-K Note 13</x:v>
      </x:c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 t="str">
        <x:v>Depreciation and amortization</x:v>
      </x:c>
      <x:c r="B30" s="111" t="n">
        <x:v>-823</x:v>
      </x:c>
      <x:c r="C30" s="111" t="n">
        <x:v>-711</x:v>
      </x:c>
      <x:c r="D30" s="111" t="n">
        <x:v>-719</x:v>
      </x:c>
      <x:c r="E30" s="92" t="str">
        <x:v>FY2025 10-K Note 13</x:v>
      </x:c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 t="str">
        <x:v>Stock-based compensation expense</x:v>
      </x:c>
      <x:c r="B31" s="111" t="n">
        <x:v>-1935</x:v>
      </x:c>
      <x:c r="C31" s="111" t="n">
        <x:v>-1796</x:v>
      </x:c>
      <x:c r="D31" s="111" t="n">
        <x:v>-1826</x:v>
      </x:c>
      <x:c r="E31" s="92" t="str">
        <x:v>FY2025 10-K Note 13</x:v>
      </x:c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 t="str">
        <x:v>Legal, non-income tax and regulatory settlements</x:v>
      </x:c>
      <x:c r="B32" s="111" t="n">
        <x:v>-9</x:v>
      </x:c>
      <x:c r="C32" s="111" t="n">
        <x:v>-1123</x:v>
      </x:c>
      <x:c r="D32" s="111" t="n">
        <x:v>-564</x:v>
      </x:c>
      <x:c r="E32" s="92" t="str">
        <x:v>FY2025 10-K Note 13</x:v>
      </x:c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 t="str">
        <x:v>Goodwill and asset impairments / loss on sale</x:v>
      </x:c>
      <x:c r="B33" s="111" t="n">
        <x:v>-84</x:v>
      </x:c>
      <x:c r="C33" s="111" t="n">
        <x:v>-3</x:v>
      </x:c>
      <x:c r="D33" s="111" t="n">
        <x:v>-2</x:v>
      </x:c>
      <x:c r="E33" s="92" t="str">
        <x:v>FY2025 10-K Note 13</x:v>
      </x:c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 t="str">
        <x:v>Acquisition, financing and divestiture expenses</x:v>
      </x:c>
      <x:c r="B34" s="111" t="n">
        <x:v>-36</x:v>
      </x:c>
      <x:c r="C34" s="111" t="n">
        <x:v>-25</x:v>
      </x:c>
      <x:c r="D34" s="111" t="n">
        <x:v>-43</x:v>
      </x:c>
      <x:c r="E34" s="92" t="str">
        <x:v>FY2025 10-K Note 13</x:v>
      </x:c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 t="str">
        <x:v>Loss on lease arrangement</x:v>
      </x:c>
      <x:c r="B35" s="111" t="n">
        <x:v>-4</x:v>
      </x:c>
      <x:c r="C35" s="111" t="n">
        <x:v>-2</x:v>
      </x:c>
      <x:c r="D35" s="111" t="n">
        <x:v>-2</x:v>
      </x:c>
      <x:c r="E35" s="92" t="str">
        <x:v>FY2025 10-K Note 13</x:v>
      </x:c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 t="str">
        <x:v>Restructuring and related charges</x:v>
      </x:c>
      <x:c r="B36" s="111" t="n">
        <x:v>-51</x:v>
      </x:c>
      <x:c r="C36" s="111" t="n">
        <x:v>-25</x:v>
      </x:c>
      <x:c r="D36" s="111" t="n">
        <x:v>-9</x:v>
      </x:c>
      <x:c r="E36" s="92" t="str">
        <x:v>FY2025 10-K Note 13</x:v>
      </x:c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 t="str">
        <x:v>Income from operations</x:v>
      </x:c>
      <x:c r="B37" s="111" t="n">
        <x:v>1110</x:v>
      </x:c>
      <x:c r="C37" s="111" t="n">
        <x:v>2799</x:v>
      </x:c>
      <x:c r="D37" s="111" t="n">
        <x:v>5565</x:v>
      </x:c>
      <x:c r="E37" s="92" t="str">
        <x:v>FY2025 10-K Note 13</x:v>
      </x:c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7" max="7" width="34" hidden="0" customWidth="1"/>
  </x:cols>
  <x:sheetData>
    <x:row r="1">
      <x:c r="A1" s="19" t="str">
        <x:v>Forecast Assumptions — Uber ($mm except %)</x:v>
      </x:c>
      <x:c r="B1" s="92"/>
      <x:c r="C1" s="92"/>
      <x:c r="D1" s="92"/>
      <x:c r="E1" s="92"/>
      <x:c r="F1" s="92"/>
      <x:c r="G1" s="110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9" t="str">
        <x:v>Driver</x:v>
      </x:c>
      <x:c r="B3" s="19" t="str">
        <x:v>2026E</x:v>
      </x:c>
      <x:c r="C3" s="19" t="str">
        <x:v>2027E</x:v>
      </x:c>
      <x:c r="D3" s="19" t="str">
        <x:v>2028E</x:v>
      </x:c>
      <x:c r="E3" s="19" t="str">
        <x:v>2029E</x:v>
      </x:c>
      <x:c r="F3" s="19" t="str">
        <x:v>2030E</x:v>
      </x:c>
      <x:c r="G3" s="19" t="str">
        <x:v>Comment</x:v>
      </x:c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Mobility revenue growth</x:v>
      </x:c>
      <x:c r="B4" s="114" t="n">
        <x:v>0.14</x:v>
      </x:c>
      <x:c r="C4" s="114" t="n">
        <x:v>0.12</x:v>
      </x:c>
      <x:c r="D4" s="114" t="n">
        <x:v>0.1</x:v>
      </x:c>
      <x:c r="E4" s="114" t="n">
        <x:v>0.09</x:v>
      </x:c>
      <x:c r="F4" s="114" t="n">
        <x:v>0.08</x:v>
      </x:c>
      <x:c r="G4" s="92" t="str">
        <x:v>Assumption</x:v>
      </x:c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Delivery revenue growth</x:v>
      </x:c>
      <x:c r="B5" s="114" t="n">
        <x:v>0.2</x:v>
      </x:c>
      <x:c r="C5" s="114" t="n">
        <x:v>0.17</x:v>
      </x:c>
      <x:c r="D5" s="114" t="n">
        <x:v>0.15</x:v>
      </x:c>
      <x:c r="E5" s="114" t="n">
        <x:v>0.13</x:v>
      </x:c>
      <x:c r="F5" s="114" t="n">
        <x:v>0.11</x:v>
      </x:c>
      <x:c r="G5" s="92" t="str">
        <x:v>Assumption</x:v>
      </x:c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Freight revenue growth</x:v>
      </x:c>
      <x:c r="B6" s="114" t="n">
        <x:v>0</x:v>
      </x:c>
      <x:c r="C6" s="114" t="n">
        <x:v>0.02</x:v>
      </x:c>
      <x:c r="D6" s="114" t="n">
        <x:v>0.03</x:v>
      </x:c>
      <x:c r="E6" s="114" t="n">
        <x:v>0.03</x:v>
      </x:c>
      <x:c r="F6" s="114" t="n">
        <x:v>0.03</x:v>
      </x:c>
      <x:c r="G6" s="92" t="str">
        <x:v>Assumption</x:v>
      </x:c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Cost of revenue % Revenue</x:v>
      </x:c>
      <x:c r="B7" s="114" t="n">
        <x:v>0.598</x:v>
      </x:c>
      <x:c r="C7" s="114" t="n">
        <x:v>0.592</x:v>
      </x:c>
      <x:c r="D7" s="114" t="n">
        <x:v>0.586</x:v>
      </x:c>
      <x:c r="E7" s="114" t="n">
        <x:v>0.58</x:v>
      </x:c>
      <x:c r="F7" s="114" t="n">
        <x:v>0.575</x:v>
      </x:c>
      <x:c r="G7" s="92" t="str">
        <x:v>Assumption</x:v>
      </x:c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 t="str">
        <x:v>Operations &amp; support % Revenue</x:v>
      </x:c>
      <x:c r="B8" s="114" t="n">
        <x:v>0.052</x:v>
      </x:c>
      <x:c r="C8" s="114" t="n">
        <x:v>0.051</x:v>
      </x:c>
      <x:c r="D8" s="114" t="n">
        <x:v>0.05</x:v>
      </x:c>
      <x:c r="E8" s="114" t="n">
        <x:v>0.049</x:v>
      </x:c>
      <x:c r="F8" s="114" t="n">
        <x:v>0.048</x:v>
      </x:c>
      <x:c r="G8" s="92" t="str">
        <x:v>Assumption</x:v>
      </x:c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Sales &amp; marketing % Revenue</x:v>
      </x:c>
      <x:c r="B9" s="114" t="n">
        <x:v>0.092</x:v>
      </x:c>
      <x:c r="C9" s="114" t="n">
        <x:v>0.09</x:v>
      </x:c>
      <x:c r="D9" s="114" t="n">
        <x:v>0.088</x:v>
      </x:c>
      <x:c r="E9" s="114" t="n">
        <x:v>0.086</x:v>
      </x:c>
      <x:c r="F9" s="114" t="n">
        <x:v>0.084</x:v>
      </x:c>
      <x:c r="G9" s="92" t="str">
        <x:v>Assumption</x:v>
      </x:c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R&amp;D % Revenue</x:v>
      </x:c>
      <x:c r="B10" s="114" t="n">
        <x:v>0.064</x:v>
      </x:c>
      <x:c r="C10" s="114" t="n">
        <x:v>0.063</x:v>
      </x:c>
      <x:c r="D10" s="114" t="n">
        <x:v>0.062</x:v>
      </x:c>
      <x:c r="E10" s="114" t="n">
        <x:v>0.061</x:v>
      </x:c>
      <x:c r="F10" s="114" t="n">
        <x:v>0.06</x:v>
      </x:c>
      <x:c r="G10" s="92" t="str">
        <x:v>Assumption</x:v>
      </x:c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G&amp;A % Revenue</x:v>
      </x:c>
      <x:c r="B11" s="114" t="n">
        <x:v>0.06</x:v>
      </x:c>
      <x:c r="C11" s="114" t="n">
        <x:v>0.058</x:v>
      </x:c>
      <x:c r="D11" s="114" t="n">
        <x:v>0.056</x:v>
      </x:c>
      <x:c r="E11" s="114" t="n">
        <x:v>0.055</x:v>
      </x:c>
      <x:c r="F11" s="114" t="n">
        <x:v>0.054</x:v>
      </x:c>
      <x:c r="G11" s="92" t="str">
        <x:v>Assumption</x:v>
      </x:c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D&amp;A % Revenue</x:v>
      </x:c>
      <x:c r="B12" s="114" t="n">
        <x:v>0.0135</x:v>
      </x:c>
      <x:c r="C12" s="114" t="n">
        <x:v>0.0133</x:v>
      </x:c>
      <x:c r="D12" s="114" t="n">
        <x:v>0.013</x:v>
      </x:c>
      <x:c r="E12" s="114" t="n">
        <x:v>0.0128</x:v>
      </x:c>
      <x:c r="F12" s="114" t="n">
        <x:v>0.0125</x:v>
      </x:c>
      <x:c r="G12" s="92" t="str">
        <x:v>Assumption</x:v>
      </x:c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 t="str">
        <x:v>Interest expense % Debt</x:v>
      </x:c>
      <x:c r="B13" s="114" t="n">
        <x:v>0.042</x:v>
      </x:c>
      <x:c r="C13" s="114" t="n">
        <x:v>0.042</x:v>
      </x:c>
      <x:c r="D13" s="114" t="n">
        <x:v>0.042</x:v>
      </x:c>
      <x:c r="E13" s="114" t="n">
        <x:v>0.042</x:v>
      </x:c>
      <x:c r="F13" s="114" t="n">
        <x:v>0.042</x:v>
      </x:c>
      <x:c r="G13" s="92" t="str">
        <x:v>Assumption</x:v>
      </x:c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 t="str">
        <x:v>Interest income % Cash &amp; ST investments</x:v>
      </x:c>
      <x:c r="B14" s="114" t="n">
        <x:v>0.045</x:v>
      </x:c>
      <x:c r="C14" s="114" t="n">
        <x:v>0.043</x:v>
      </x:c>
      <x:c r="D14" s="114" t="n">
        <x:v>0.04</x:v>
      </x:c>
      <x:c r="E14" s="114" t="n">
        <x:v>0.038</x:v>
      </x:c>
      <x:c r="F14" s="114" t="n">
        <x:v>0.035</x:v>
      </x:c>
      <x:c r="G14" s="92" t="str">
        <x:v>Assumption</x:v>
      </x:c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 t="str">
        <x:v>Other income (expense), net</x:v>
      </x:c>
      <x:c r="B15" s="114" t="n">
        <x:v>0</x:v>
      </x:c>
      <x:c r="C15" s="114" t="n">
        <x:v>0</x:v>
      </x:c>
      <x:c r="D15" s="114" t="n">
        <x:v>0</x:v>
      </x:c>
      <x:c r="E15" s="114" t="n">
        <x:v>0</x:v>
      </x:c>
      <x:c r="F15" s="114" t="n">
        <x:v>0</x:v>
      </x:c>
      <x:c r="G15" s="92" t="str">
        <x:v>Assumption; volatile investment marks excluded</x:v>
      </x:c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 t="str">
        <x:v>Normalized tax rate</x:v>
      </x:c>
      <x:c r="B16" s="114" t="n">
        <x:v>0.21</x:v>
      </x:c>
      <x:c r="C16" s="114" t="n">
        <x:v>0.21</x:v>
      </x:c>
      <x:c r="D16" s="114" t="n">
        <x:v>0.21</x:v>
      </x:c>
      <x:c r="E16" s="114" t="n">
        <x:v>0.21</x:v>
      </x:c>
      <x:c r="F16" s="114" t="n">
        <x:v>0.21</x:v>
      </x:c>
      <x:c r="G16" s="92" t="str">
        <x:v>Assumption</x:v>
      </x:c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 t="str">
        <x:v>Equity method income / (loss)</x:v>
      </x:c>
      <x:c r="B17" s="114" t="n">
        <x:v>0</x:v>
      </x:c>
      <x:c r="C17" s="114" t="n">
        <x:v>0</x:v>
      </x:c>
      <x:c r="D17" s="114" t="n">
        <x:v>0</x:v>
      </x:c>
      <x:c r="E17" s="114" t="n">
        <x:v>0</x:v>
      </x:c>
      <x:c r="F17" s="114" t="n">
        <x:v>0</x:v>
      </x:c>
      <x:c r="G17" s="92" t="str">
        <x:v>Assumption</x:v>
      </x:c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 t="str">
        <x:v>NCI income</x:v>
      </x:c>
      <x:c r="B18" s="114" t="n">
        <x:v>50</x:v>
      </x:c>
      <x:c r="C18" s="114" t="n">
        <x:v>55</x:v>
      </x:c>
      <x:c r="D18" s="114" t="n">
        <x:v>60</x:v>
      </x:c>
      <x:c r="E18" s="114" t="n">
        <x:v>65</x:v>
      </x:c>
      <x:c r="F18" s="114" t="n">
        <x:v>70</x:v>
      </x:c>
      <x:c r="G18" s="92" t="str">
        <x:v>Assumption</x:v>
      </x:c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 t="str">
        <x:v>SBC % Revenue</x:v>
      </x:c>
      <x:c r="B19" s="114" t="n">
        <x:v>0.033</x:v>
      </x:c>
      <x:c r="C19" s="114" t="n">
        <x:v>0.031</x:v>
      </x:c>
      <x:c r="D19" s="114" t="n">
        <x:v>0.029</x:v>
      </x:c>
      <x:c r="E19" s="114" t="n">
        <x:v>0.027</x:v>
      </x:c>
      <x:c r="F19" s="114" t="n">
        <x:v>0.025</x:v>
      </x:c>
      <x:c r="G19" s="92" t="str">
        <x:v>Assumption</x:v>
      </x:c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 t="str">
        <x:v>Deferred taxes</x:v>
      </x:c>
      <x:c r="B20" s="114" t="n">
        <x:v>0</x:v>
      </x:c>
      <x:c r="C20" s="114" t="n">
        <x:v>0</x:v>
      </x:c>
      <x:c r="D20" s="114" t="n">
        <x:v>0</x:v>
      </x:c>
      <x:c r="E20" s="114" t="n">
        <x:v>0</x:v>
      </x:c>
      <x:c r="F20" s="114" t="n">
        <x:v>0</x:v>
      </x:c>
      <x:c r="G20" s="92" t="str">
        <x:v>Assumption</x:v>
      </x:c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 t="str">
        <x:v>Capex % Revenue</x:v>
      </x:c>
      <x:c r="B21" s="114" t="n">
        <x:v>0.008</x:v>
      </x:c>
      <x:c r="C21" s="114" t="n">
        <x:v>0.008</x:v>
      </x:c>
      <x:c r="D21" s="114" t="n">
        <x:v>0.008</x:v>
      </x:c>
      <x:c r="E21" s="114" t="n">
        <x:v>0.008</x:v>
      </x:c>
      <x:c r="F21" s="114" t="n">
        <x:v>0.008</x:v>
      </x:c>
      <x:c r="G21" s="92" t="str">
        <x:v>Assumption</x:v>
      </x:c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 t="str">
        <x:v>AR % Revenue</x:v>
      </x:c>
      <x:c r="B22" s="114" t="n">
        <x:v>0.073</x:v>
      </x:c>
      <x:c r="C22" s="114" t="n">
        <x:v>0.073</x:v>
      </x:c>
      <x:c r="D22" s="114" t="n">
        <x:v>0.073</x:v>
      </x:c>
      <x:c r="E22" s="114" t="n">
        <x:v>0.073</x:v>
      </x:c>
      <x:c r="F22" s="114" t="n">
        <x:v>0.073</x:v>
      </x:c>
      <x:c r="G22" s="92" t="str">
        <x:v>Assumption</x:v>
      </x:c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 t="str">
        <x:v>Prepaids &amp; other current assets % Revenue</x:v>
      </x:c>
      <x:c r="B23" s="114" t="n">
        <x:v>0.037</x:v>
      </x:c>
      <x:c r="C23" s="114" t="n">
        <x:v>0.037</x:v>
      </x:c>
      <x:c r="D23" s="114" t="n">
        <x:v>0.037</x:v>
      </x:c>
      <x:c r="E23" s="114" t="n">
        <x:v>0.037</x:v>
      </x:c>
      <x:c r="F23" s="114" t="n">
        <x:v>0.037</x:v>
      </x:c>
      <x:c r="G23" s="92" t="str">
        <x:v>Assumption</x:v>
      </x:c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 t="str">
        <x:v>AP % Revenue</x:v>
      </x:c>
      <x:c r="B24" s="114" t="n">
        <x:v>0.019</x:v>
      </x:c>
      <x:c r="C24" s="114" t="n">
        <x:v>0.019</x:v>
      </x:c>
      <x:c r="D24" s="114" t="n">
        <x:v>0.019</x:v>
      </x:c>
      <x:c r="E24" s="114" t="n">
        <x:v>0.019</x:v>
      </x:c>
      <x:c r="F24" s="114" t="n">
        <x:v>0.019</x:v>
      </x:c>
      <x:c r="G24" s="92" t="str">
        <x:v>Assumption</x:v>
      </x:c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 t="str">
        <x:v>Accrued current liabilities % Revenue</x:v>
      </x:c>
      <x:c r="B25" s="115" t="n">
        <x:v>0.149</x:v>
      </x:c>
      <x:c r="C25" s="115" t="n">
        <x:v>0.148</x:v>
      </x:c>
      <x:c r="D25" s="115" t="n">
        <x:v>0.147</x:v>
      </x:c>
      <x:c r="E25" s="115" t="n">
        <x:v>0.146</x:v>
      </x:c>
      <x:c r="F25" s="115" t="n">
        <x:v>0.145</x:v>
      </x:c>
      <x:c r="G25" s="92" t="str">
        <x:v>Assumption</x:v>
      </x:c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 t="str">
        <x:v>Debt balance</x:v>
      </x:c>
      <x:c r="B26" s="111" t="n">
        <x:v>10521</x:v>
      </x:c>
      <x:c r="C26" s="111" t="n">
        <x:v>10521</x:v>
      </x:c>
      <x:c r="D26" s="111" t="n">
        <x:v>10521</x:v>
      </x:c>
      <x:c r="E26" s="111" t="n">
        <x:v>10521</x:v>
      </x:c>
      <x:c r="F26" s="111" t="n">
        <x:v>10521</x:v>
      </x:c>
      <x:c r="G26" s="92" t="str">
        <x:v>Assumption: hold constant; refinancings ignored</x:v>
      </x:c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 t="str">
        <x:v>Share repurchases</x:v>
      </x:c>
      <x:c r="B27" s="111" t="n">
        <x:v>2000</x:v>
      </x:c>
      <x:c r="C27" s="111" t="n">
        <x:v>2500</x:v>
      </x:c>
      <x:c r="D27" s="111" t="n">
        <x:v>3000</x:v>
      </x:c>
      <x:c r="E27" s="111" t="n">
        <x:v>3500</x:v>
      </x:c>
      <x:c r="F27" s="111" t="n">
        <x:v>4000</x:v>
      </x:c>
      <x:c r="G27" s="92" t="str">
        <x:v>Assumption</x:v>
      </x:c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 t="str">
        <x:v>Diluted shares (mm)</x:v>
      </x:c>
      <x:c r="B28" s="114" t="n">
        <x:v>2080</x:v>
      </x:c>
      <x:c r="C28" s="114" t="n">
        <x:v>2050</x:v>
      </x:c>
      <x:c r="D28" s="114" t="n">
        <x:v>2020</x:v>
      </x:c>
      <x:c r="E28" s="114" t="n">
        <x:v>1990</x:v>
      </x:c>
      <x:c r="F28" s="114" t="n">
        <x:v>1960</x:v>
      </x:c>
      <x:c r="G28" s="92" t="str">
        <x:v>Assumption</x:v>
      </x:c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 t="str">
        <x:v>WACC</x:v>
      </x:c>
      <x:c r="B29" s="114" t="n">
        <x:v>0.085</x:v>
      </x:c>
      <x:c r="C29" s="114" t="n">
        <x:v>0.085</x:v>
      </x:c>
      <x:c r="D29" s="114" t="n">
        <x:v>0.085</x:v>
      </x:c>
      <x:c r="E29" s="114" t="n">
        <x:v>0.085</x:v>
      </x:c>
      <x:c r="F29" s="114" t="n">
        <x:v>0.085</x:v>
      </x:c>
      <x:c r="G29" s="92" t="str">
        <x:v>Valuation assumption</x:v>
      </x:c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 t="str">
        <x:v>Terminal growth</x:v>
      </x:c>
      <x:c r="B30" s="114" t="n">
        <x:v>0.03</x:v>
      </x:c>
      <x:c r="C30" s="114" t="n">
        <x:v>0.03</x:v>
      </x:c>
      <x:c r="D30" s="114" t="n">
        <x:v>0.03</x:v>
      </x:c>
      <x:c r="E30" s="114" t="n">
        <x:v>0.03</x:v>
      </x:c>
      <x:c r="F30" s="114" t="n">
        <x:v>0.03</x:v>
      </x:c>
      <x:c r="G30" s="92" t="str">
        <x:v>Valuation assumption</x:v>
      </x:c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9" t="str">
        <x:v>Uber Integrated 3-Statement Model — Historical Actuals EDGAR-Tied / Forecasts Formula-Driven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61" t="str">
        <x:v>$mm except per-share</x:v>
      </x:c>
      <x:c r="B3" s="161" t="str">
        <x:v>2023A</x:v>
      </x:c>
      <x:c r="C3" s="161" t="str">
        <x:v>2024A</x:v>
      </x:c>
      <x:c r="D3" s="161" t="str">
        <x:v>2025A</x:v>
      </x:c>
      <x:c r="E3" s="161" t="str">
        <x:v>2026E</x:v>
      </x:c>
      <x:c r="F3" s="161" t="str">
        <x:v>2027E</x:v>
      </x:c>
      <x:c r="G3" s="161" t="str">
        <x:v>2028E</x:v>
      </x:c>
      <x:c r="H3" s="161" t="str">
        <x:v>2029E</x:v>
      </x:c>
      <x:c r="I3" s="161" t="str">
        <x:v>2030E</x:v>
      </x:c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162" t="str">
        <x:v>Segment Revenue</x:v>
      </x:c>
      <x:c r="B4" s="162"/>
      <x:c r="C4" s="162"/>
      <x:c r="D4" s="162"/>
      <x:c r="E4" s="162"/>
      <x:c r="F4" s="162"/>
      <x:c r="G4" s="162"/>
      <x:c r="H4" s="162"/>
      <x:c r="I4" s="16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Mobility revenue</x:v>
      </x:c>
      <x:c r="B5" s="111" t="n">
        <x:v>19832</x:v>
      </x:c>
      <x:c r="C5" s="111" t="n">
        <x:v>25087</x:v>
      </x:c>
      <x:c r="D5" s="111" t="n">
        <x:v>29670</x:v>
      </x:c>
      <x:c r="E5" s="118" t="n">
        <x:f>D5*(1+Assumptions!B4)</x:f>
        <x:v>33823.8</x:v>
      </x:c>
      <x:c r="F5" s="118" t="n">
        <x:f>E5*(1+Assumptions!C4)</x:f>
        <x:v>37882.65600000001</x:v>
      </x:c>
      <x:c r="G5" s="118" t="n">
        <x:f>F5*(1+Assumptions!D4)</x:f>
        <x:v>41670.921600000016</x:v>
      </x:c>
      <x:c r="H5" s="118" t="n">
        <x:f>G5*(1+Assumptions!E4)</x:f>
        <x:v>45421.30454400002</x:v>
      </x:c>
      <x:c r="I5" s="118" t="n">
        <x:f>H5*(1+Assumptions!F4)</x:f>
        <x:v>49055.00890752002</x:v>
      </x:c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Delivery revenue</x:v>
      </x:c>
      <x:c r="B6" s="111" t="n">
        <x:v>12204</x:v>
      </x:c>
      <x:c r="C6" s="111" t="n">
        <x:v>13750</x:v>
      </x:c>
      <x:c r="D6" s="111" t="n">
        <x:v>17248</x:v>
      </x:c>
      <x:c r="E6" s="118" t="n">
        <x:f>D6*(1+Assumptions!B5)</x:f>
        <x:v>20697.6</x:v>
      </x:c>
      <x:c r="F6" s="118" t="n">
        <x:f>E6*(1+Assumptions!C5)</x:f>
        <x:v>24216.191999999995</x:v>
      </x:c>
      <x:c r="G6" s="118" t="n">
        <x:f>F6*(1+Assumptions!D5)</x:f>
        <x:v>27848.620799999993</x:v>
      </x:c>
      <x:c r="H6" s="118" t="n">
        <x:f>G6*(1+Assumptions!E5)</x:f>
        <x:v>31468.94150399999</x:v>
      </x:c>
      <x:c r="I6" s="118" t="n">
        <x:f>H6*(1+Assumptions!F5)</x:f>
        <x:v>34930.525069439995</x:v>
      </x:c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Freight revenue</x:v>
      </x:c>
      <x:c r="B7" s="111" t="n">
        <x:v>5245</x:v>
      </x:c>
      <x:c r="C7" s="111" t="n">
        <x:v>5141</x:v>
      </x:c>
      <x:c r="D7" s="111" t="n">
        <x:v>5099</x:v>
      </x:c>
      <x:c r="E7" s="118" t="n">
        <x:f>D7*(1+Assumptions!B6)</x:f>
        <x:v>5099</x:v>
      </x:c>
      <x:c r="F7" s="118" t="n">
        <x:f>E7*(1+Assumptions!C6)</x:f>
        <x:v>5200.9800000000005</x:v>
      </x:c>
      <x:c r="G7" s="118" t="n">
        <x:f>F7*(1+Assumptions!D6)</x:f>
        <x:v>5357.009400000001</x:v>
      </x:c>
      <x:c r="H7" s="118" t="n">
        <x:f>G7*(1+Assumptions!E6)</x:f>
        <x:v>5517.719682000001</x:v>
      </x:c>
      <x:c r="I7" s="118" t="n">
        <x:f>H7*(1+Assumptions!F6)</x:f>
        <x:v>5683.251272460001</x:v>
      </x:c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166" t="str">
        <x:v>Revenue</x:v>
      </x:c>
      <x:c r="B8" s="167" t="n">
        <x:v>37281</x:v>
      </x:c>
      <x:c r="C8" s="167" t="n">
        <x:v>43978</x:v>
      </x:c>
      <x:c r="D8" s="167" t="n">
        <x:v>52017</x:v>
      </x:c>
      <x:c r="E8" s="168" t="n">
        <x:f>SUM(E5:E7)</x:f>
        <x:v>59620.4</x:v>
      </x:c>
      <x:c r="F8" s="168" t="n">
        <x:f>SUM(F5:F7)</x:f>
        <x:v>67299.82800000001</x:v>
      </x:c>
      <x:c r="G8" s="168" t="n">
        <x:f>SUM(G5:G7)</x:f>
        <x:v>74876.5518</x:v>
      </x:c>
      <x:c r="H8" s="168" t="n">
        <x:f>SUM(H5:H7)</x:f>
        <x:v>82407.96573000001</x:v>
      </x:c>
      <x:c r="I8" s="168" t="n">
        <x:f>SUM(I5:I7)</x:f>
        <x:v>89668.78524942002</x:v>
      </x:c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Revenue growth</x:v>
      </x:c>
      <x:c r="B9" s="114"/>
      <x:c r="C9" s="114" t="n">
        <x:f>C8/B8-1</x:f>
        <x:v>0.17963573938467325</x:v>
      </x:c>
      <x:c r="D9" s="114" t="n">
        <x:f>D8/C8-1</x:f>
        <x:v>0.1827959434262585</x:v>
      </x:c>
      <x:c r="E9" s="122" t="n">
        <x:f>E8/D8-1</x:f>
        <x:v>0.146171443951016</x:v>
      </x:c>
      <x:c r="F9" s="122" t="n">
        <x:f>F8/E8-1</x:f>
        <x:v>0.1288053753413263</x:v>
      </x:c>
      <x:c r="G9" s="122" t="n">
        <x:f>G8/F8-1</x:f>
        <x:v>0.11258162205109934</x:v>
      </x:c>
      <x:c r="H9" s="122" t="n">
        <x:f>H8/G8-1</x:f>
        <x:v>0.10058441192800771</x:v>
      </x:c>
      <x:c r="I9" s="122" t="n">
        <x:f>I8/H8-1</x:f>
        <x:v>0.08810822418805042</x:v>
      </x:c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162" t="str">
        <x:v>Income Statement</x:v>
      </x:c>
      <x:c r="B10" s="163"/>
      <x:c r="C10" s="163"/>
      <x:c r="D10" s="163"/>
      <x:c r="E10" s="164"/>
      <x:c r="F10" s="164"/>
      <x:c r="G10" s="164"/>
      <x:c r="H10" s="164"/>
      <x:c r="I10" s="164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Cost of revenue, excl. D&amp;A</x:v>
      </x:c>
      <x:c r="B11" s="111" t="n">
        <x:v>22457</x:v>
      </x:c>
      <x:c r="C11" s="111" t="n">
        <x:v>26651</x:v>
      </x:c>
      <x:c r="D11" s="111" t="n">
        <x:v>31338</x:v>
      </x:c>
      <x:c r="E11" s="118" t="n">
        <x:f>E8*Assumptions!B7</x:f>
        <x:v>35652.9992</x:v>
      </x:c>
      <x:c r="F11" s="118" t="n">
        <x:f>F8*Assumptions!C7</x:f>
        <x:v>39841.498176</x:v>
      </x:c>
      <x:c r="G11" s="118" t="n">
        <x:f>G8*Assumptions!D7</x:f>
        <x:v>43877.659354799995</x:v>
      </x:c>
      <x:c r="H11" s="118" t="n">
        <x:f>H8*Assumptions!E7</x:f>
        <x:v>47796.620123400004</x:v>
      </x:c>
      <x:c r="I11" s="118" t="n">
        <x:f>I8*Assumptions!F7</x:f>
        <x:v>51559.551518416505</x:v>
      </x:c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Gross profit before D&amp;A</x:v>
      </x:c>
      <x:c r="B12" s="111" t="n">
        <x:v>14824</x:v>
      </x:c>
      <x:c r="C12" s="111" t="n">
        <x:v>17327</x:v>
      </x:c>
      <x:c r="D12" s="111" t="n">
        <x:v>20679</x:v>
      </x:c>
      <x:c r="E12" s="118" t="n">
        <x:f>E8-E11</x:f>
        <x:v>23967.400800000003</x:v>
      </x:c>
      <x:c r="F12" s="118" t="n">
        <x:f>F8-F11</x:f>
        <x:v>27458.329824000008</x:v>
      </x:c>
      <x:c r="G12" s="118" t="n">
        <x:f>G8-G11</x:f>
        <x:v>30998.892445200006</x:v>
      </x:c>
      <x:c r="H12" s="118" t="n">
        <x:f>H8-H11</x:f>
        <x:v>34611.34560660001</x:v>
      </x:c>
      <x:c r="I12" s="118" t="n">
        <x:f>I8-I11</x:f>
        <x:v>38109.233731003515</x:v>
      </x:c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 t="str">
        <x:v>Gross margin before D&amp;A</x:v>
      </x:c>
      <x:c r="B13" s="114" t="n">
        <x:f>B12/B8</x:f>
        <x:v>0.39762881896944824</x:v>
      </x:c>
      <x:c r="C13" s="114" t="n">
        <x:f>C12/C8</x:f>
        <x:v>0.39399245077083994</x:v>
      </x:c>
      <x:c r="D13" s="114" t="n">
        <x:f>D12/D8</x:f>
        <x:v>0.39754311090604993</x:v>
      </x:c>
      <x:c r="E13" s="122" t="n">
        <x:f>E12/E8</x:f>
        <x:v>0.402</x:v>
      </x:c>
      <x:c r="F13" s="122" t="n">
        <x:f>F12/F8</x:f>
        <x:v>0.4080000000000001</x:v>
      </x:c>
      <x:c r="G13" s="122" t="n">
        <x:f>G12/G8</x:f>
        <x:v>0.4140000000000001</x:v>
      </x:c>
      <x:c r="H13" s="122" t="n">
        <x:f>H12/H8</x:f>
        <x:v>0.42000000000000004</x:v>
      </x:c>
      <x:c r="I13" s="122" t="n">
        <x:f>I12/I8</x:f>
        <x:v>0.42500000000000004</x:v>
      </x:c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 t="str">
        <x:v>Operations and support</x:v>
      </x:c>
      <x:c r="B14" s="111" t="n">
        <x:v>2689</x:v>
      </x:c>
      <x:c r="C14" s="111" t="n">
        <x:v>2732</x:v>
      </x:c>
      <x:c r="D14" s="111" t="n">
        <x:v>2854</x:v>
      </x:c>
      <x:c r="E14" s="118" t="n">
        <x:f>E8*Assumptions!B8</x:f>
        <x:v>3100.2608</x:v>
      </x:c>
      <x:c r="F14" s="118" t="n">
        <x:f>F8*Assumptions!C8</x:f>
        <x:v>3432.291228</x:v>
      </x:c>
      <x:c r="G14" s="118" t="n">
        <x:f>G8*Assumptions!D8</x:f>
        <x:v>3743.8275900000003</x:v>
      </x:c>
      <x:c r="H14" s="118" t="n">
        <x:f>H8*Assumptions!E8</x:f>
        <x:v>4037.990320770001</x:v>
      </x:c>
      <x:c r="I14" s="118" t="n">
        <x:f>I8*Assumptions!F8</x:f>
        <x:v>4304.1016919721615</x:v>
      </x:c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 t="str">
        <x:v>Sales and marketing</x:v>
      </x:c>
      <x:c r="B15" s="111" t="n">
        <x:v>4356</x:v>
      </x:c>
      <x:c r="C15" s="111" t="n">
        <x:v>4337</x:v>
      </x:c>
      <x:c r="D15" s="111" t="n">
        <x:v>4898</x:v>
      </x:c>
      <x:c r="E15" s="118" t="n">
        <x:f>E8*Assumptions!B9</x:f>
        <x:v>5485.0768</x:v>
      </x:c>
      <x:c r="F15" s="118" t="n">
        <x:f>F8*Assumptions!C9</x:f>
        <x:v>6056.984520000001</x:v>
      </x:c>
      <x:c r="G15" s="118" t="n">
        <x:f>G8*Assumptions!D9</x:f>
        <x:v>6589.1365584</x:v>
      </x:c>
      <x:c r="H15" s="118" t="n">
        <x:f>H8*Assumptions!E9</x:f>
        <x:v>7087.08505278</x:v>
      </x:c>
      <x:c r="I15" s="118" t="n">
        <x:f>I8*Assumptions!F9</x:f>
        <x:v>7532.177960951282</x:v>
      </x:c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 t="str">
        <x:v>Research and development</x:v>
      </x:c>
      <x:c r="B16" s="111" t="n">
        <x:v>3164</x:v>
      </x:c>
      <x:c r="C16" s="111" t="n">
        <x:v>3109</x:v>
      </x:c>
      <x:c r="D16" s="111" t="n">
        <x:v>3402</x:v>
      </x:c>
      <x:c r="E16" s="118" t="n">
        <x:f>E8*Assumptions!B10</x:f>
        <x:v>3815.7056000000002</x:v>
      </x:c>
      <x:c r="F16" s="118" t="n">
        <x:f>F8*Assumptions!C10</x:f>
        <x:v>4239.889164</x:v>
      </x:c>
      <x:c r="G16" s="118" t="n">
        <x:f>G8*Assumptions!D10</x:f>
        <x:v>4642.3462116</x:v>
      </x:c>
      <x:c r="H16" s="118" t="n">
        <x:f>H8*Assumptions!E10</x:f>
        <x:v>5026.88590953</x:v>
      </x:c>
      <x:c r="I16" s="118" t="n">
        <x:f>I8*Assumptions!F10</x:f>
        <x:v>5380.127114965201</x:v>
      </x:c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 t="str">
        <x:v>General and administrative</x:v>
      </x:c>
      <x:c r="B17" s="111" t="n">
        <x:v>2682</x:v>
      </x:c>
      <x:c r="C17" s="111" t="n">
        <x:v>3639</x:v>
      </x:c>
      <x:c r="D17" s="111" t="n">
        <x:v>3241</x:v>
      </x:c>
      <x:c r="E17" s="118" t="n">
        <x:f>E8*Assumptions!B11</x:f>
        <x:v>3577.224</x:v>
      </x:c>
      <x:c r="F17" s="118" t="n">
        <x:f>F8*Assumptions!C11</x:f>
        <x:v>3903.3900240000007</x:v>
      </x:c>
      <x:c r="G17" s="118" t="n">
        <x:f>G8*Assumptions!D11</x:f>
        <x:v>4193.0869008</x:v>
      </x:c>
      <x:c r="H17" s="118" t="n">
        <x:f>H8*Assumptions!E11</x:f>
        <x:v>4532.438115150001</x:v>
      </x:c>
      <x:c r="I17" s="118" t="n">
        <x:f>I8*Assumptions!F11</x:f>
        <x:v>4842.114403468681</x:v>
      </x:c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 t="str">
        <x:v>Depreciation and amortization</x:v>
      </x:c>
      <x:c r="B18" s="111" t="n">
        <x:v>823</x:v>
      </x:c>
      <x:c r="C18" s="111" t="n">
        <x:v>711</x:v>
      </x:c>
      <x:c r="D18" s="111" t="n">
        <x:v>719</x:v>
      </x:c>
      <x:c r="E18" s="118" t="n">
        <x:f>E8*Assumptions!B12</x:f>
        <x:v>804.8754</x:v>
      </x:c>
      <x:c r="F18" s="118" t="n">
        <x:f>F8*Assumptions!C12</x:f>
        <x:v>895.0877124000001</x:v>
      </x:c>
      <x:c r="G18" s="118" t="n">
        <x:f>G8*Assumptions!D12</x:f>
        <x:v>973.3951734</x:v>
      </x:c>
      <x:c r="H18" s="118" t="n">
        <x:f>H8*Assumptions!E12</x:f>
        <x:v>1054.821961344</x:v>
      </x:c>
      <x:c r="I18" s="118" t="n">
        <x:f>I8*Assumptions!F12</x:f>
        <x:v>1120.8598156177502</x:v>
      </x:c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166" t="str">
        <x:v>Total costs and expenses</x:v>
      </x:c>
      <x:c r="B19" s="167" t="n">
        <x:v>36171</x:v>
      </x:c>
      <x:c r="C19" s="167" t="n">
        <x:v>41179</x:v>
      </x:c>
      <x:c r="D19" s="167" t="n">
        <x:v>46452</x:v>
      </x:c>
      <x:c r="E19" s="168" t="n">
        <x:f>SUM(E11,E14:E18)</x:f>
        <x:v>52436.1418</x:v>
      </x:c>
      <x:c r="F19" s="168" t="n">
        <x:f>SUM(F11,F14:F18)</x:f>
        <x:v>58369.140824400005</x:v>
      </x:c>
      <x:c r="G19" s="168" t="n">
        <x:f>SUM(G11,G14:G18)</x:f>
        <x:v>64019.451789</x:v>
      </x:c>
      <x:c r="H19" s="168" t="n">
        <x:f>SUM(H11,H14:H18)</x:f>
        <x:v>69535.841482974</x:v>
      </x:c>
      <x:c r="I19" s="168" t="n">
        <x:f>SUM(I11,I14:I18)</x:f>
        <x:v>74738.93250539158</x:v>
      </x:c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166" t="str">
        <x:v>Income from operations</x:v>
      </x:c>
      <x:c r="B20" s="167" t="n">
        <x:v>1110</x:v>
      </x:c>
      <x:c r="C20" s="167" t="n">
        <x:v>2799</x:v>
      </x:c>
      <x:c r="D20" s="167" t="n">
        <x:v>5565</x:v>
      </x:c>
      <x:c r="E20" s="168" t="n">
        <x:f>E8-E19</x:f>
        <x:v>7184.258200000004</x:v>
      </x:c>
      <x:c r="F20" s="168" t="n">
        <x:f>F8-F19</x:f>
        <x:v>8930.687175600004</x:v>
      </x:c>
      <x:c r="G20" s="168" t="n">
        <x:f>G8-G19</x:f>
        <x:v>10857.100011000002</x:v>
      </x:c>
      <x:c r="H20" s="168" t="n">
        <x:f>H8-H19</x:f>
        <x:v>12872.124247026004</x:v>
      </x:c>
      <x:c r="I20" s="168" t="n">
        <x:f>I8-I19</x:f>
        <x:v>14929.852744028438</x:v>
      </x:c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 t="str">
        <x:v>Operating margin</x:v>
      </x:c>
      <x:c r="B21" s="114" t="n">
        <x:f>B20/B8</x:f>
        <x:v>0.029773879456023174</x:v>
      </x:c>
      <x:c r="C21" s="114" t="n">
        <x:f>C20/C8</x:f>
        <x:v>0.06364545909318295</x:v>
      </x:c>
      <x:c r="D21" s="114" t="n">
        <x:f>D20/D8</x:f>
        <x:v>0.10698425514735567</x:v>
      </x:c>
      <x:c r="E21" s="122" t="n">
        <x:f>E20/E8</x:f>
        <x:v>0.12050000000000007</x:v>
      </x:c>
      <x:c r="F21" s="122" t="n">
        <x:f>F20/F8</x:f>
        <x:v>0.13270000000000004</x:v>
      </x:c>
      <x:c r="G21" s="122" t="n">
        <x:f>G20/G8</x:f>
        <x:v>0.14500000000000002</x:v>
      </x:c>
      <x:c r="H21" s="122" t="n">
        <x:f>H20/H8</x:f>
        <x:v>0.15620000000000003</x:v>
      </x:c>
      <x:c r="I21" s="122" t="n">
        <x:f>I20/I8</x:f>
        <x:v>0.16650000000000006</x:v>
      </x:c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 t="str">
        <x:v>Interest expense</x:v>
      </x:c>
      <x:c r="B22" s="111" t="n">
        <x:v>-633</x:v>
      </x:c>
      <x:c r="C22" s="111" t="n">
        <x:v>-523</x:v>
      </x:c>
      <x:c r="D22" s="111" t="n">
        <x:v>-440</x:v>
      </x:c>
      <x:c r="E22" s="118" t="n">
        <x:f>-D74*Assumptions!B13</x:f>
        <x:v>-441.882</x:v>
      </x:c>
      <x:c r="F22" s="118" t="n">
        <x:f>-E74*Assumptions!C13</x:f>
        <x:v>-441.882</x:v>
      </x:c>
      <x:c r="G22" s="118" t="n">
        <x:f>-F74*Assumptions!D13</x:f>
        <x:v>-441.882</x:v>
      </x:c>
      <x:c r="H22" s="118" t="n">
        <x:f>-G74*Assumptions!E13</x:f>
        <x:v>-441.882</x:v>
      </x:c>
      <x:c r="I22" s="118" t="n">
        <x:f>-H74*Assumptions!F13</x:f>
        <x:v>-441.882</x:v>
      </x:c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 t="str">
        <x:v>Interest income</x:v>
      </x:c>
      <x:c r="B23" s="111" t="n">
        <x:v>484</x:v>
      </x:c>
      <x:c r="C23" s="111" t="n">
        <x:v>721</x:v>
      </x:c>
      <x:c r="D23" s="111" t="n">
        <x:v>743</x:v>
      </x:c>
      <x:c r="E23" s="118" t="n">
        <x:f>(D51+D52)*Assumptions!B14</x:f>
        <x:v>343.485</x:v>
      </x:c>
      <x:c r="F23" s="118" t="n">
        <x:f>(E51+E52)*Assumptions!C14</x:f>
        <x:v>678.154240505345</x:v>
      </x:c>
      <x:c r="G23" s="118" t="n">
        <x:f>(F51+F52)*Assumptions!D14</x:f>
        <x:v>1006.9629195414952</x:v>
      </x:c>
      <x:c r="H23" s="118" t="n">
        <x:f>(G51+G52)*Assumptions!E14</x:f>
        <x:v>1364.8024203921138</x:v>
      </x:c>
      <x:c r="I23" s="118" t="n">
        <x:f>(H51+H52)*Assumptions!F14</x:f>
        <x:v>1682.7465759897623</x:v>
      </x:c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 t="str">
        <x:v>Other income (expense), net</x:v>
      </x:c>
      <x:c r="B24" s="111" t="n">
        <x:v>1360</x:v>
      </x:c>
      <x:c r="C24" s="111" t="n">
        <x:v>1128</x:v>
      </x:c>
      <x:c r="D24" s="111" t="n">
        <x:v>-68</x:v>
      </x:c>
      <x:c r="E24" s="118" t="n">
        <x:f>Assumptions!B15</x:f>
        <x:v>0</x:v>
      </x:c>
      <x:c r="F24" s="118" t="n">
        <x:f>Assumptions!C15</x:f>
        <x:v>0</x:v>
      </x:c>
      <x:c r="G24" s="118" t="n">
        <x:f>Assumptions!D15</x:f>
        <x:v>0</x:v>
      </x:c>
      <x:c r="H24" s="118" t="n">
        <x:f>Assumptions!E15</x:f>
        <x:v>0</x:v>
      </x:c>
      <x:c r="I24" s="118" t="n">
        <x:f>Assumptions!F15</x:f>
        <x:v>0</x:v>
      </x:c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 t="str">
        <x:v>Income before taxes and equity method</x:v>
      </x:c>
      <x:c r="B25" s="111" t="n">
        <x:v>2321</x:v>
      </x:c>
      <x:c r="C25" s="111" t="n">
        <x:v>4125</x:v>
      </x:c>
      <x:c r="D25" s="111" t="n">
        <x:v>5800</x:v>
      </x:c>
      <x:c r="E25" s="118" t="n">
        <x:f>SUM(E20:E24)</x:f>
        <x:v>7085.981700000004</x:v>
      </x:c>
      <x:c r="F25" s="118" t="n">
        <x:f>SUM(F20:F24)</x:f>
        <x:v>9167.092116105348</x:v>
      </x:c>
      <x:c r="G25" s="118" t="n">
        <x:f>SUM(G20:G24)</x:f>
        <x:v>11422.325930541498</x:v>
      </x:c>
      <x:c r="H25" s="118" t="n">
        <x:f>SUM(H20:H24)</x:f>
        <x:v>13795.200867418118</x:v>
      </x:c>
      <x:c r="I25" s="118" t="n">
        <x:f>SUM(I20:I24)</x:f>
        <x:v>16170.8838200182</x:v>
      </x:c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 t="str">
        <x:v>Provision for / (benefit from) income taxes</x:v>
      </x:c>
      <x:c r="B26" s="111" t="n">
        <x:v>213</x:v>
      </x:c>
      <x:c r="C26" s="111" t="n">
        <x:v>-5758</x:v>
      </x:c>
      <x:c r="D26" s="111" t="n">
        <x:v>-4346</x:v>
      </x:c>
      <x:c r="E26" s="118" t="n">
        <x:f>E25*Assumptions!B16</x:f>
        <x:v>1488.0561570000007</x:v>
      </x:c>
      <x:c r="F26" s="118" t="n">
        <x:f>F25*Assumptions!C16</x:f>
        <x:v>1925.089344382123</x:v>
      </x:c>
      <x:c r="G26" s="118" t="n">
        <x:f>G25*Assumptions!D16</x:f>
        <x:v>2398.6884454137144</x:v>
      </x:c>
      <x:c r="H26" s="118" t="n">
        <x:f>H25*Assumptions!E16</x:f>
        <x:v>2896.9921821578046</x:v>
      </x:c>
      <x:c r="I26" s="118" t="n">
        <x:f>I25*Assumptions!F16</x:f>
        <x:v>3395.8856022038217</x:v>
      </x:c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 t="str">
        <x:v>Income (loss) from equity method investments</x:v>
      </x:c>
      <x:c r="B27" s="111" t="n">
        <x:v>48</x:v>
      </x:c>
      <x:c r="C27" s="111" t="n">
        <x:v>-38</x:v>
      </x:c>
      <x:c r="D27" s="111" t="n">
        <x:v>-53</x:v>
      </x:c>
      <x:c r="E27" s="118" t="n">
        <x:f>Assumptions!B17</x:f>
        <x:v>0</x:v>
      </x:c>
      <x:c r="F27" s="118" t="n">
        <x:f>Assumptions!C17</x:f>
        <x:v>0</x:v>
      </x:c>
      <x:c r="G27" s="118" t="n">
        <x:f>Assumptions!D17</x:f>
        <x:v>0</x:v>
      </x:c>
      <x:c r="H27" s="118" t="n">
        <x:f>Assumptions!E17</x:f>
        <x:v>0</x:v>
      </x:c>
      <x:c r="I27" s="118" t="n">
        <x:f>Assumptions!F17</x:f>
        <x:v>0</x:v>
      </x:c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166" t="str">
        <x:v>Net income incl. NCI</x:v>
      </x:c>
      <x:c r="B28" s="167" t="n">
        <x:v>2156</x:v>
      </x:c>
      <x:c r="C28" s="167" t="n">
        <x:v>9845</x:v>
      </x:c>
      <x:c r="D28" s="167" t="n">
        <x:v>10093</x:v>
      </x:c>
      <x:c r="E28" s="168" t="n">
        <x:f>E25-E26+E27</x:f>
        <x:v>5597.925543000003</x:v>
      </x:c>
      <x:c r="F28" s="168" t="n">
        <x:f>F25-F26+F27</x:f>
        <x:v>7242.002771723225</x:v>
      </x:c>
      <x:c r="G28" s="168" t="n">
        <x:f>G25-G26+G27</x:f>
        <x:v>9023.637485127783</x:v>
      </x:c>
      <x:c r="H28" s="168" t="n">
        <x:f>H25-H26+H27</x:f>
        <x:v>10898.208685260313</x:v>
      </x:c>
      <x:c r="I28" s="168" t="n">
        <x:f>I25-I26+I27</x:f>
        <x:v>12774.998217814378</x:v>
      </x:c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 t="str">
        <x:v>Less: net income attributable to NCI</x:v>
      </x:c>
      <x:c r="B29" s="111" t="n">
        <x:v>269</x:v>
      </x:c>
      <x:c r="C29" s="111" t="n">
        <x:v>-11</x:v>
      </x:c>
      <x:c r="D29" s="111" t="n">
        <x:v>40</x:v>
      </x:c>
      <x:c r="E29" s="118" t="n">
        <x:f>Assumptions!B18</x:f>
        <x:v>50</x:v>
      </x:c>
      <x:c r="F29" s="118" t="n">
        <x:f>Assumptions!C18</x:f>
        <x:v>55</x:v>
      </x:c>
      <x:c r="G29" s="118" t="n">
        <x:f>Assumptions!D18</x:f>
        <x:v>60</x:v>
      </x:c>
      <x:c r="H29" s="118" t="n">
        <x:f>Assumptions!E18</x:f>
        <x:v>65</x:v>
      </x:c>
      <x:c r="I29" s="118" t="n">
        <x:f>Assumptions!F18</x:f>
        <x:v>70</x:v>
      </x:c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166" t="str">
        <x:v>Net income attributable to Uber</x:v>
      </x:c>
      <x:c r="B30" s="167" t="n">
        <x:v>1887</x:v>
      </x:c>
      <x:c r="C30" s="167" t="n">
        <x:v>9856</x:v>
      </x:c>
      <x:c r="D30" s="167" t="n">
        <x:v>10053</x:v>
      </x:c>
      <x:c r="E30" s="168" t="n">
        <x:f>E28-E29</x:f>
        <x:v>5547.925543000003</x:v>
      </x:c>
      <x:c r="F30" s="168" t="n">
        <x:f>F28-F29</x:f>
        <x:v>7187.002771723225</x:v>
      </x:c>
      <x:c r="G30" s="168" t="n">
        <x:f>G28-G29</x:f>
        <x:v>8963.637485127783</x:v>
      </x:c>
      <x:c r="H30" s="168" t="n">
        <x:f>H28-H29</x:f>
        <x:v>10833.208685260313</x:v>
      </x:c>
      <x:c r="I30" s="168" t="n">
        <x:f>I28-I29</x:f>
        <x:v>12704.998217814378</x:v>
      </x:c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 t="str">
        <x:v>Diluted shares (mm)</x:v>
      </x:c>
      <x:c r="B31" s="111" t="n">
        <x:v>2091.782</x:v>
      </x:c>
      <x:c r="C31" s="111" t="n">
        <x:v>2150.508</x:v>
      </x:c>
      <x:c r="D31" s="111" t="n">
        <x:v>2119.689</x:v>
      </x:c>
      <x:c r="E31" s="118" t="n">
        <x:f>Assumptions!B28</x:f>
        <x:v>2080</x:v>
      </x:c>
      <x:c r="F31" s="118" t="n">
        <x:f>Assumptions!C28</x:f>
        <x:v>2050</x:v>
      </x:c>
      <x:c r="G31" s="118" t="n">
        <x:f>Assumptions!D28</x:f>
        <x:v>2020</x:v>
      </x:c>
      <x:c r="H31" s="118" t="n">
        <x:f>Assumptions!E28</x:f>
        <x:v>1990</x:v>
      </x:c>
      <x:c r="I31" s="118" t="n">
        <x:f>Assumptions!F28</x:f>
        <x:v>1960</x:v>
      </x:c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 t="str">
        <x:v>Diluted EPS</x:v>
      </x:c>
      <x:c r="B32" s="125" t="n">
        <x:v>0.87</x:v>
      </x:c>
      <x:c r="C32" s="125" t="n">
        <x:v>4.56</x:v>
      </x:c>
      <x:c r="D32" s="125" t="n">
        <x:v>4.73</x:v>
      </x:c>
      <x:c r="E32" s="126" t="n">
        <x:f>E30/E31</x:f>
        <x:v>2.6672718956730783</x:v>
      </x:c>
      <x:c r="F32" s="126" t="n">
        <x:f>F30/F31</x:f>
        <x:v>3.505855010596695</x:v>
      </x:c>
      <x:c r="G32" s="126" t="n">
        <x:f>G30/G31</x:f>
        <x:v>4.4374442995682095</x:v>
      </x:c>
      <x:c r="H32" s="126" t="n">
        <x:f>H30/H31</x:f>
        <x:v>5.443823459929805</x:v>
      </x:c>
      <x:c r="I32" s="126" t="n">
        <x:f>I30/I31</x:f>
        <x:v>6.482141947864479</x:v>
      </x:c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111"/>
      <x:c r="C33" s="111"/>
      <x:c r="D33" s="111"/>
      <x:c r="E33" s="118"/>
      <x:c r="F33" s="118"/>
      <x:c r="G33" s="118"/>
      <x:c r="H33" s="118"/>
      <x:c r="I33" s="118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162" t="str">
        <x:v>Cash Flow Statement</x:v>
      </x:c>
      <x:c r="B34" s="163"/>
      <x:c r="C34" s="163"/>
      <x:c r="D34" s="163"/>
      <x:c r="E34" s="164"/>
      <x:c r="F34" s="164"/>
      <x:c r="G34" s="164"/>
      <x:c r="H34" s="164"/>
      <x:c r="I34" s="164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 t="str">
        <x:v>Net income incl. NCI</x:v>
      </x:c>
      <x:c r="B35" s="111" t="n">
        <x:v>2156</x:v>
      </x:c>
      <x:c r="C35" s="111" t="n">
        <x:v>9845</x:v>
      </x:c>
      <x:c r="D35" s="111" t="n">
        <x:v>10093</x:v>
      </x:c>
      <x:c r="E35" s="118" t="n">
        <x:f>E28</x:f>
        <x:v>5597.925543000003</x:v>
      </x:c>
      <x:c r="F35" s="118" t="n">
        <x:f>F28</x:f>
        <x:v>7242.002771723225</x:v>
      </x:c>
      <x:c r="G35" s="118" t="n">
        <x:f>G28</x:f>
        <x:v>9023.637485127783</x:v>
      </x:c>
      <x:c r="H35" s="118" t="n">
        <x:f>H28</x:f>
        <x:v>10898.208685260313</x:v>
      </x:c>
      <x:c r="I35" s="118" t="n">
        <x:f>I28</x:f>
        <x:v>12774.998217814378</x:v>
      </x:c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 t="str">
        <x:v>D&amp;A add-back</x:v>
      </x:c>
      <x:c r="B36" s="111" t="n">
        <x:v>823</x:v>
      </x:c>
      <x:c r="C36" s="111" t="n">
        <x:v>737</x:v>
      </x:c>
      <x:c r="D36" s="111" t="n">
        <x:v>747</x:v>
      </x:c>
      <x:c r="E36" s="118" t="n">
        <x:f>E18</x:f>
        <x:v>804.8754</x:v>
      </x:c>
      <x:c r="F36" s="118" t="n">
        <x:f>F18</x:f>
        <x:v>895.0877124000001</x:v>
      </x:c>
      <x:c r="G36" s="118" t="n">
        <x:f>G18</x:f>
        <x:v>973.3951734</x:v>
      </x:c>
      <x:c r="H36" s="118" t="n">
        <x:f>H18</x:f>
        <x:v>1054.821961344</x:v>
      </x:c>
      <x:c r="I36" s="118" t="n">
        <x:f>I18</x:f>
        <x:v>1120.8598156177502</x:v>
      </x:c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 t="str">
        <x:v>Stock-based compensation</x:v>
      </x:c>
      <x:c r="B37" s="111" t="n">
        <x:v>1935</x:v>
      </x:c>
      <x:c r="C37" s="111" t="n">
        <x:v>1796</x:v>
      </x:c>
      <x:c r="D37" s="111" t="n">
        <x:v>1826</x:v>
      </x:c>
      <x:c r="E37" s="118" t="n">
        <x:f>E8*Assumptions!B19</x:f>
        <x:v>1967.4732000000001</x:v>
      </x:c>
      <x:c r="F37" s="118" t="n">
        <x:f>F8*Assumptions!C19</x:f>
        <x:v>2086.2946680000005</x:v>
      </x:c>
      <x:c r="G37" s="118" t="n">
        <x:f>G8*Assumptions!D19</x:f>
        <x:v>2171.4200022</x:v>
      </x:c>
      <x:c r="H37" s="118" t="n">
        <x:f>H8*Assumptions!E19</x:f>
        <x:v>2225.01507471</x:v>
      </x:c>
      <x:c r="I37" s="118" t="n">
        <x:f>I8*Assumptions!F19</x:f>
        <x:v>2241.7196312355004</x:v>
      </x:c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 t="str">
        <x:v>Deferred taxes</x:v>
      </x:c>
      <x:c r="B38" s="111" t="n">
        <x:v>26</x:v>
      </x:c>
      <x:c r="C38" s="111" t="n">
        <x:v>-6027</x:v>
      </x:c>
      <x:c r="D38" s="111" t="n">
        <x:v>-4779</x:v>
      </x:c>
      <x:c r="E38" s="118" t="n">
        <x:f>Assumptions!B20</x:f>
        <x:v>0</x:v>
      </x:c>
      <x:c r="F38" s="118" t="n">
        <x:f>Assumptions!C20</x:f>
        <x:v>0</x:v>
      </x:c>
      <x:c r="G38" s="118" t="n">
        <x:f>Assumptions!D20</x:f>
        <x:v>0</x:v>
      </x:c>
      <x:c r="H38" s="118" t="n">
        <x:f>Assumptions!E20</x:f>
        <x:v>0</x:v>
      </x:c>
      <x:c r="I38" s="118" t="n">
        <x:f>Assumptions!F20</x:f>
        <x:v>0</x:v>
      </x:c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 t="str">
        <x:v>Other non-cash / investing marks</x:v>
      </x:c>
      <x:c r="B39" s="111" t="n">
        <x:v>-1520</x:v>
      </x:c>
      <x:c r="C39" s="111" t="n">
        <x:v>-1588</x:v>
      </x:c>
      <x:c r="D39" s="111" t="n">
        <x:v>-15</x:v>
      </x:c>
      <x:c r="E39" s="118" t="n">
        <x:f>0</x:f>
        <x:v>0</x:v>
      </x:c>
      <x:c r="F39" s="118" t="n">
        <x:f>0</x:f>
        <x:v>0</x:v>
      </x:c>
      <x:c r="G39" s="118" t="n">
        <x:f>0</x:f>
        <x:v>0</x:v>
      </x:c>
      <x:c r="H39" s="118" t="n">
        <x:f>0</x:f>
        <x:v>0</x:v>
      </x:c>
      <x:c r="I39" s="118" t="n">
        <x:f>0</x:f>
        <x:v>0</x:v>
      </x:c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 t="str">
        <x:v>Change in AR</x:v>
      </x:c>
      <x:c r="B40" s="111" t="n">
        <x:v>-758</x:v>
      </x:c>
      <x:c r="C40" s="111" t="n">
        <x:v>-142</x:v>
      </x:c>
      <x:c r="D40" s="111" t="n">
        <x:v>-466</x:v>
      </x:c>
      <x:c r="E40" s="118" t="n">
        <x:f>-(E54-D54)</x:f>
        <x:v>-525.2892000000002</x:v>
      </x:c>
      <x:c r="F40" s="118" t="n">
        <x:f>-(F54-E54)</x:f>
        <x:v>-560.5982439999998</x:v>
      </x:c>
      <x:c r="G40" s="118" t="n">
        <x:f>-(G54-F54)</x:f>
        <x:v>-553.1008373999994</x:v>
      </x:c>
      <x:c r="H40" s="118" t="n">
        <x:f>-(H54-G54)</x:f>
        <x:v>-549.7932168900015</x:v>
      </x:c>
      <x:c r="I40" s="118" t="n">
        <x:f>-(I54-H54)</x:f>
        <x:v>-530.0398249176606</x:v>
      </x:c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 t="str">
        <x:v>Change in prepaids &amp; other current assets</x:v>
      </x:c>
      <x:c r="B41" s="111" t="n">
        <x:v>-1462</x:v>
      </x:c>
      <x:c r="C41" s="111" t="n">
        <x:v>-694</x:v>
      </x:c>
      <x:c r="D41" s="111" t="n">
        <x:v>-1028</x:v>
      </x:c>
      <x:c r="E41" s="118" t="n">
        <x:f>-(E55-D55)</x:f>
        <x:v>-303.9548</x:v>
      </x:c>
      <x:c r="F41" s="118" t="n">
        <x:f>-(F55-E55)</x:f>
        <x:v>-284.1388360000001</x:v>
      </x:c>
      <x:c r="G41" s="118" t="n">
        <x:f>-(G55-F55)</x:f>
        <x:v>-280.33878060000006</x:v>
      </x:c>
      <x:c r="H41" s="118" t="n">
        <x:f>-(H55-G55)</x:f>
        <x:v>-278.66231541000025</x:v>
      </x:c>
      <x:c r="I41" s="118" t="n">
        <x:f>-(I55-H55)</x:f>
        <x:v>-268.65032221854017</x:v>
      </x:c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 t="str">
        <x:v>Change in accounts payable</x:v>
      </x:c>
      <x:c r="B42" s="111" t="n">
        <x:v>64</x:v>
      </x:c>
      <x:c r="C42" s="111" t="n">
        <x:v>86</x:v>
      </x:c>
      <x:c r="D42" s="111" t="n">
        <x:v>126</x:v>
      </x:c>
      <x:c r="E42" s="118" t="n">
        <x:f>E68-D68</x:f>
        <x:v>119.78760000000011</x:v>
      </x:c>
      <x:c r="F42" s="118" t="n">
        <x:f>F68-E68</x:f>
        <x:v>145.909132</x:v>
      </x:c>
      <x:c r="G42" s="118" t="n">
        <x:f>G68-F68</x:f>
        <x:v>143.95775219999996</x:v>
      </x:c>
      <x:c r="H42" s="118" t="n">
        <x:f>H68-G68</x:f>
        <x:v>143.09686467000006</x:v>
      </x:c>
      <x:c r="I42" s="118" t="n">
        <x:f>I68-H68</x:f>
        <x:v>137.9555708689802</x:v>
      </x:c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 t="str">
        <x:v>Change in insurance reserves</x:v>
      </x:c>
      <x:c r="B43" s="111" t="n">
        <x:v>2230</x:v>
      </x:c>
      <x:c r="C43" s="111" t="n">
        <x:v>2819</x:v>
      </x:c>
      <x:c r="D43" s="111" t="n">
        <x:v>2660</x:v>
      </x:c>
      <x:c r="E43" s="118" t="n">
        <x:f>(E69+E73)-(D69+D73)</x:f>
        <x:v>1821.734705961513</x:v>
      </x:c>
      <x:c r="F43" s="118" t="n">
        <x:f>(F69+F73)-(E69+E73)</x:f>
        <x:v>1839.9506154526425</x:v>
      </x:c>
      <x:c r="G43" s="118" t="n">
        <x:f>(G69+G73)-(F69+F73)</x:f>
        <x:v>1815.3432285483577</x:v>
      </x:c>
      <x:c r="H43" s="118" t="n">
        <x:f>(H69+H73)-(G69+G73)</x:f>
        <x:v>1804.4872216696494</x:v>
      </x:c>
      <x:c r="I43" s="118" t="n">
        <x:f>(I69+I73)-(H69+H73)</x:f>
        <x:v>1739.6542220914635</x:v>
      </x:c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 t="str">
        <x:v>Change in accrued liabilities</x:v>
      </x:c>
      <x:c r="B44" s="111" t="n">
        <x:v>80</x:v>
      </x:c>
      <x:c r="C44" s="111" t="n">
        <x:v>330</x:v>
      </x:c>
      <x:c r="D44" s="111" t="n">
        <x:v>967</x:v>
      </x:c>
      <x:c r="E44" s="118" t="n">
        <x:f>E71-D71</x:f>
        <x:v>1132.4395999999997</x:v>
      </x:c>
      <x:c r="F44" s="118" t="n">
        <x:f>F71-E71</x:f>
        <x:v>1076.9349440000005</x:v>
      </x:c>
      <x:c r="G44" s="118" t="n">
        <x:f>G71-F71</x:f>
        <x:v>1046.4785705999984</x:v>
      </x:c>
      <x:c r="H44" s="118" t="n">
        <x:f>H71-G71</x:f>
        <x:v>1024.709881980003</x:v>
      </x:c>
      <x:c r="I44" s="118" t="n">
        <x:f>I71-H71</x:f>
        <x:v>970.4108645858996</x:v>
      </x:c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 t="str">
        <x:v>Other working capital / lease changes</x:v>
      </x:c>
      <x:c r="B45" s="111" t="n">
        <x:v>11</x:v>
      </x:c>
      <x:c r="C45" s="111" t="n">
        <x:v>-25</x:v>
      </x:c>
      <x:c r="D45" s="111" t="n">
        <x:v>-32</x:v>
      </x:c>
      <x:c r="E45" s="118" t="n">
        <x:f>0</x:f>
        <x:v>0</x:v>
      </x:c>
      <x:c r="F45" s="118" t="n">
        <x:f>0</x:f>
        <x:v>0</x:v>
      </x:c>
      <x:c r="G45" s="118" t="n">
        <x:f>0</x:f>
        <x:v>0</x:v>
      </x:c>
      <x:c r="H45" s="118" t="n">
        <x:f>0</x:f>
        <x:v>0</x:v>
      </x:c>
      <x:c r="I45" s="118" t="n">
        <x:f>0</x:f>
        <x:v>0</x:v>
      </x:c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166" t="str">
        <x:v>Net cash provided by operating activities</x:v>
      </x:c>
      <x:c r="B46" s="167" t="n">
        <x:v>3585</x:v>
      </x:c>
      <x:c r="C46" s="167" t="n">
        <x:v>7137</x:v>
      </x:c>
      <x:c r="D46" s="167" t="n">
        <x:v>10099</x:v>
      </x:c>
      <x:c r="E46" s="168" t="n">
        <x:f>SUM(E35:E45)</x:f>
        <x:v>10614.992048961514</x:v>
      </x:c>
      <x:c r="F46" s="168" t="n">
        <x:f>SUM(F35:F45)</x:f>
        <x:v>12441.442763575868</x:v>
      </x:c>
      <x:c r="G46" s="168" t="n">
        <x:f>SUM(G35:G45)</x:f>
        <x:v>14340.79259407614</x:v>
      </x:c>
      <x:c r="H46" s="168" t="n">
        <x:f>SUM(H35:H45)</x:f>
        <x:v>16321.884157333965</x:v>
      </x:c>
      <x:c r="I46" s="168" t="n">
        <x:f>SUM(I35:I45)</x:f>
        <x:v>18186.908175077777</x:v>
      </x:c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 t="str">
        <x:v>Capital expenditures</x:v>
      </x:c>
      <x:c r="B47" s="111" t="n">
        <x:v>-223</x:v>
      </x:c>
      <x:c r="C47" s="111" t="n">
        <x:v>-242</x:v>
      </x:c>
      <x:c r="D47" s="111" t="n">
        <x:v>-336</x:v>
      </x:c>
      <x:c r="E47" s="118" t="n">
        <x:f>-E8*Assumptions!B21</x:f>
        <x:v>-476.96320000000003</x:v>
      </x:c>
      <x:c r="F47" s="118" t="n">
        <x:f>-F8*Assumptions!C21</x:f>
        <x:v>-538.398624</x:v>
      </x:c>
      <x:c r="G47" s="118" t="n">
        <x:f>-G8*Assumptions!D21</x:f>
        <x:v>-599.0124144</x:v>
      </x:c>
      <x:c r="H47" s="118" t="n">
        <x:f>-H8*Assumptions!E21</x:f>
        <x:v>-659.2637258400001</x:v>
      </x:c>
      <x:c r="I47" s="118" t="n">
        <x:f>-I8*Assumptions!F21</x:f>
        <x:v>-717.3502819953602</x:v>
      </x:c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166" t="str">
        <x:v>Free cash flow</x:v>
      </x:c>
      <x:c r="B48" s="167" t="n">
        <x:v>3362</x:v>
      </x:c>
      <x:c r="C48" s="167" t="n">
        <x:v>6895</x:v>
      </x:c>
      <x:c r="D48" s="167" t="n">
        <x:v>9763</x:v>
      </x:c>
      <x:c r="E48" s="168" t="n">
        <x:f>E46+E47</x:f>
        <x:v>10138.028848961514</x:v>
      </x:c>
      <x:c r="F48" s="168" t="n">
        <x:f>F46+F47</x:f>
        <x:v>11903.044139575868</x:v>
      </x:c>
      <x:c r="G48" s="168" t="n">
        <x:f>G46+G47</x:f>
        <x:v>13741.78017967614</x:v>
      </x:c>
      <x:c r="H48" s="168" t="n">
        <x:f>H46+H47</x:f>
        <x:v>15662.620431493964</x:v>
      </x:c>
      <x:c r="I48" s="168" t="n">
        <x:f>I46+I47</x:f>
        <x:v>17469.557893082416</x:v>
      </x:c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111"/>
      <x:c r="C49" s="111"/>
      <x:c r="D49" s="111"/>
      <x:c r="E49" s="118"/>
      <x:c r="F49" s="118"/>
      <x:c r="G49" s="118"/>
      <x:c r="H49" s="118"/>
      <x:c r="I49" s="118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162" t="str">
        <x:v>Balance Sheet</x:v>
      </x:c>
      <x:c r="B50" s="163"/>
      <x:c r="C50" s="163"/>
      <x:c r="D50" s="163"/>
      <x:c r="E50" s="164"/>
      <x:c r="F50" s="164"/>
      <x:c r="G50" s="164"/>
      <x:c r="H50" s="164"/>
      <x:c r="I50" s="164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 t="str">
        <x:v>Cash and cash equivalents</x:v>
      </x:c>
      <x:c r="B51" s="111" t="n">
        <x:v>4680</x:v>
      </x:c>
      <x:c r="C51" s="111" t="n">
        <x:v>5893</x:v>
      </x:c>
      <x:c r="D51" s="111" t="n">
        <x:v>7105</x:v>
      </x:c>
      <x:c r="E51" s="118" t="n">
        <x:f>D51+E48-E80</x:f>
        <x:v>15243.028848961512</x:v>
      </x:c>
      <x:c r="F51" s="118" t="n">
        <x:f>E51+F48-F80</x:f>
        <x:v>24646.07298853738</x:v>
      </x:c>
      <x:c r="G51" s="118" t="n">
        <x:f>F51+G48-G80</x:f>
        <x:v>35387.85316821352</x:v>
      </x:c>
      <x:c r="H51" s="118" t="n">
        <x:f>G51+H48-H80</x:f>
        <x:v>47550.47359970749</x:v>
      </x:c>
      <x:c r="I51" s="118" t="n">
        <x:f>H51+I48-I80</x:f>
        <x:v>61020.0314927899</x:v>
      </x:c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 t="str">
        <x:v>Short-term investments</x:v>
      </x:c>
      <x:c r="B52" s="111" t="n">
        <x:v>727</x:v>
      </x:c>
      <x:c r="C52" s="111" t="n">
        <x:v>1084</x:v>
      </x:c>
      <x:c r="D52" s="111" t="n">
        <x:v>528</x:v>
      </x:c>
      <x:c r="E52" s="118" t="n">
        <x:f>D52</x:f>
        <x:v>528</x:v>
      </x:c>
      <x:c r="F52" s="118" t="n">
        <x:f>E52</x:f>
        <x:v>528</x:v>
      </x:c>
      <x:c r="G52" s="118" t="n">
        <x:f>F52</x:f>
        <x:v>528</x:v>
      </x:c>
      <x:c r="H52" s="118" t="n">
        <x:f>G52</x:f>
        <x:v>528</x:v>
      </x:c>
      <x:c r="I52" s="118" t="n">
        <x:f>H52</x:f>
        <x:v>528</x:v>
      </x:c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 t="str">
        <x:v>Restricted cash current</x:v>
      </x:c>
      <x:c r="B53" s="111" t="n">
        <x:v>805</x:v>
      </x:c>
      <x:c r="C53" s="111" t="n">
        <x:v>545</x:v>
      </x:c>
      <x:c r="D53" s="111" t="n">
        <x:v>631</x:v>
      </x:c>
      <x:c r="E53" s="118" t="n">
        <x:f>D53</x:f>
        <x:v>631</x:v>
      </x:c>
      <x:c r="F53" s="118" t="n">
        <x:f>E53</x:f>
        <x:v>631</x:v>
      </x:c>
      <x:c r="G53" s="118" t="n">
        <x:f>F53</x:f>
        <x:v>631</x:v>
      </x:c>
      <x:c r="H53" s="118" t="n">
        <x:f>G53</x:f>
        <x:v>631</x:v>
      </x:c>
      <x:c r="I53" s="118" t="n">
        <x:f>H53</x:f>
        <x:v>631</x:v>
      </x:c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 t="str">
        <x:v>Accounts receivable, net</x:v>
      </x:c>
      <x:c r="B54" s="111" t="n">
        <x:v>3404</x:v>
      </x:c>
      <x:c r="C54" s="111" t="n">
        <x:v>3333</x:v>
      </x:c>
      <x:c r="D54" s="111" t="n">
        <x:v>3827</x:v>
      </x:c>
      <x:c r="E54" s="118" t="n">
        <x:f>E8*Assumptions!B22</x:f>
        <x:v>4352.2892</x:v>
      </x:c>
      <x:c r="F54" s="118" t="n">
        <x:f>F8*Assumptions!C22</x:f>
        <x:v>4912.887444</x:v>
      </x:c>
      <x:c r="G54" s="118" t="n">
        <x:f>G8*Assumptions!D22</x:f>
        <x:v>5465.988281399999</x:v>
      </x:c>
      <x:c r="H54" s="118" t="n">
        <x:f>H8*Assumptions!E22</x:f>
        <x:v>6015.781498290001</x:v>
      </x:c>
      <x:c r="I54" s="118" t="n">
        <x:f>I8*Assumptions!F22</x:f>
        <x:v>6545.821323207661</x:v>
      </x:c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 t="str">
        <x:v>Prepaids and other current assets</x:v>
      </x:c>
      <x:c r="B55" s="111" t="n">
        <x:v>1681</x:v>
      </x:c>
      <x:c r="C55" s="111" t="n">
        <x:v>1390</x:v>
      </x:c>
      <x:c r="D55" s="111" t="n">
        <x:v>1902</x:v>
      </x:c>
      <x:c r="E55" s="118" t="n">
        <x:f>E8*Assumptions!B23</x:f>
        <x:v>2205.9548</x:v>
      </x:c>
      <x:c r="F55" s="118" t="n">
        <x:f>F8*Assumptions!C23</x:f>
        <x:v>2490.093636</x:v>
      </x:c>
      <x:c r="G55" s="118" t="n">
        <x:f>G8*Assumptions!D23</x:f>
        <x:v>2770.4324166</x:v>
      </x:c>
      <x:c r="H55" s="118" t="n">
        <x:f>H8*Assumptions!E23</x:f>
        <x:v>3049.0947320100004</x:v>
      </x:c>
      <x:c r="I55" s="118" t="n">
        <x:f>I8*Assumptions!F23</x:f>
        <x:v>3317.7450542285405</x:v>
      </x:c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166" t="str">
        <x:v>Total current assets</x:v>
      </x:c>
      <x:c r="B56" s="167" t="n">
        <x:v>11297</x:v>
      </x:c>
      <x:c r="C56" s="167" t="n">
        <x:v>12245</x:v>
      </x:c>
      <x:c r="D56" s="167" t="n">
        <x:v>13993</x:v>
      </x:c>
      <x:c r="E56" s="168" t="n">
        <x:f>SUM(E51:E55)</x:f>
        <x:v>22960.27284896151</x:v>
      </x:c>
      <x:c r="F56" s="168" t="n">
        <x:f>SUM(F51:F55)</x:f>
        <x:v>33208.05406853738</x:v>
      </x:c>
      <x:c r="G56" s="168" t="n">
        <x:f>SUM(G51:G55)</x:f>
        <x:v>44783.27386621352</x:v>
      </x:c>
      <x:c r="H56" s="168" t="n">
        <x:f>SUM(H51:H55)</x:f>
        <x:v>57774.34983000749</x:v>
      </x:c>
      <x:c r="I56" s="168" t="n">
        <x:f>SUM(I51:I55)</x:f>
        <x:v>72042.5978702261</x:v>
      </x:c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119" t="str">
        <x:v>Restricted cash non-current</x:v>
      </x:c>
      <x:c r="B57" s="120" t="n">
        <x:v>1519</x:v>
      </x:c>
      <x:c r="C57" s="120" t="n">
        <x:v>2172</x:v>
      </x:c>
      <x:c r="D57" s="120" t="n">
        <x:v>1911</x:v>
      </x:c>
      <x:c r="E57" s="121" t="n">
        <x:f>D57</x:f>
        <x:v>1911</x:v>
      </x:c>
      <x:c r="F57" s="121" t="n">
        <x:f>E57</x:f>
        <x:v>1911</x:v>
      </x:c>
      <x:c r="G57" s="121" t="n">
        <x:f>F57</x:f>
        <x:v>1911</x:v>
      </x:c>
      <x:c r="H57" s="121" t="n">
        <x:f>G57</x:f>
        <x:v>1911</x:v>
      </x:c>
      <x:c r="I57" s="121" t="n">
        <x:f>H57</x:f>
        <x:v>1911</x:v>
      </x:c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 t="str">
        <x:v>Restricted investments</x:v>
      </x:c>
      <x:c r="B58" s="111" t="n">
        <x:v>4779</x:v>
      </x:c>
      <x:c r="C58" s="111" t="n">
        <x:v>7019</x:v>
      </x:c>
      <x:c r="D58" s="111" t="n">
        <x:v>8874</x:v>
      </x:c>
      <x:c r="E58" s="118" t="n">
        <x:f>D58</x:f>
        <x:v>8874</x:v>
      </x:c>
      <x:c r="F58" s="118" t="n">
        <x:f>E58</x:f>
        <x:v>8874</x:v>
      </x:c>
      <x:c r="G58" s="118" t="n">
        <x:f>F58</x:f>
        <x:v>8874</x:v>
      </x:c>
      <x:c r="H58" s="118" t="n">
        <x:f>G58</x:f>
        <x:v>8874</x:v>
      </x:c>
      <x:c r="I58" s="118" t="n">
        <x:f>H58</x:f>
        <x:v>8874</x:v>
      </x:c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 t="str">
        <x:v>Investments</x:v>
      </x:c>
      <x:c r="B59" s="111" t="n">
        <x:v>6101</x:v>
      </x:c>
      <x:c r="C59" s="111" t="n">
        <x:v>8460</x:v>
      </x:c>
      <x:c r="D59" s="111" t="n">
        <x:v>9178</x:v>
      </x:c>
      <x:c r="E59" s="118" t="n">
        <x:f>D59</x:f>
        <x:v>9178</x:v>
      </x:c>
      <x:c r="F59" s="118" t="n">
        <x:f>E59</x:f>
        <x:v>9178</x:v>
      </x:c>
      <x:c r="G59" s="118" t="n">
        <x:f>F59</x:f>
        <x:v>9178</x:v>
      </x:c>
      <x:c r="H59" s="118" t="n">
        <x:f>G59</x:f>
        <x:v>9178</x:v>
      </x:c>
      <x:c r="I59" s="118" t="n">
        <x:f>H59</x:f>
        <x:v>9178</x:v>
      </x:c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 t="str">
        <x:v>Equity method investments</x:v>
      </x:c>
      <x:c r="B60" s="111" t="n">
        <x:v>353</x:v>
      </x:c>
      <x:c r="C60" s="111" t="n">
        <x:v>302</x:v>
      </x:c>
      <x:c r="D60" s="111" t="n">
        <x:v>287</x:v>
      </x:c>
      <x:c r="E60" s="118" t="n">
        <x:f>D60</x:f>
        <x:v>287</x:v>
      </x:c>
      <x:c r="F60" s="118" t="n">
        <x:f>E60</x:f>
        <x:v>287</x:v>
      </x:c>
      <x:c r="G60" s="118" t="n">
        <x:f>F60</x:f>
        <x:v>287</x:v>
      </x:c>
      <x:c r="H60" s="118" t="n">
        <x:f>G60</x:f>
        <x:v>287</x:v>
      </x:c>
      <x:c r="I60" s="118" t="n">
        <x:f>H60</x:f>
        <x:v>287</x:v>
      </x:c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 t="str">
        <x:v>Property and equipment, net</x:v>
      </x:c>
      <x:c r="B61" s="111" t="n">
        <x:v>2073</x:v>
      </x:c>
      <x:c r="C61" s="111" t="n">
        <x:v>1952</x:v>
      </x:c>
      <x:c r="D61" s="111" t="n">
        <x:v>1897</x:v>
      </x:c>
      <x:c r="E61" s="118" t="n">
        <x:f>MAX(0,D61+ABS(E47)-E18)</x:f>
        <x:v>1569.0878000000002</x:v>
      </x:c>
      <x:c r="F61" s="118" t="n">
        <x:f>MAX(0,E61+ABS(F47)-F18)</x:f>
        <x:v>1212.3987116</x:v>
      </x:c>
      <x:c r="G61" s="118" t="n">
        <x:f>MAX(0,F61+ABS(G47)-G18)</x:f>
        <x:v>838.0159526</x:v>
      </x:c>
      <x:c r="H61" s="118" t="n">
        <x:f>MAX(0,G61+ABS(H47)-H18)</x:f>
        <x:v>442.4577170960001</x:v>
      </x:c>
      <x:c r="I61" s="118" t="n">
        <x:f>MAX(0,H61+ABS(I47)-I18)</x:f>
        <x:v>38.948183473610015</x:v>
      </x:c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 t="str">
        <x:v>Operating lease ROU assets</x:v>
      </x:c>
      <x:c r="B62" s="111" t="n">
        <x:v>1241</x:v>
      </x:c>
      <x:c r="C62" s="111" t="n">
        <x:v>1158</x:v>
      </x:c>
      <x:c r="D62" s="111" t="n">
        <x:v>1114</x:v>
      </x:c>
      <x:c r="E62" s="118" t="n">
        <x:f>D62</x:f>
        <x:v>1114</x:v>
      </x:c>
      <x:c r="F62" s="118" t="n">
        <x:f>E62</x:f>
        <x:v>1114</x:v>
      </x:c>
      <x:c r="G62" s="118" t="n">
        <x:f>F62</x:f>
        <x:v>1114</x:v>
      </x:c>
      <x:c r="H62" s="118" t="n">
        <x:f>G62</x:f>
        <x:v>1114</x:v>
      </x:c>
      <x:c r="I62" s="118" t="n">
        <x:f>H62</x:f>
        <x:v>1114</x:v>
      </x:c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 t="str">
        <x:v>Intangible assets, net</x:v>
      </x:c>
      <x:c r="B63" s="111" t="n">
        <x:v>1425</x:v>
      </x:c>
      <x:c r="C63" s="111" t="n">
        <x:v>1125</x:v>
      </x:c>
      <x:c r="D63" s="111" t="n">
        <x:v>1048</x:v>
      </x:c>
      <x:c r="E63" s="118" t="n">
        <x:f>MAX(0,D63*0.90)</x:f>
        <x:v>943.2</x:v>
      </x:c>
      <x:c r="F63" s="118" t="n">
        <x:f>MAX(0,E63*0.90)</x:f>
        <x:v>848.8800000000001</x:v>
      </x:c>
      <x:c r="G63" s="118" t="n">
        <x:f>MAX(0,F63*0.90)</x:f>
        <x:v>763.9920000000001</x:v>
      </x:c>
      <x:c r="H63" s="118" t="n">
        <x:f>MAX(0,G63*0.90)</x:f>
        <x:v>687.5928000000001</x:v>
      </x:c>
      <x:c r="I63" s="118" t="n">
        <x:f>MAX(0,H63*0.90)</x:f>
        <x:v>618.8335200000001</x:v>
      </x:c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 t="str">
        <x:v>Goodwill</x:v>
      </x:c>
      <x:c r="B64" s="111" t="n">
        <x:v>8151</x:v>
      </x:c>
      <x:c r="C64" s="111" t="n">
        <x:v>8066</x:v>
      </x:c>
      <x:c r="D64" s="111" t="n">
        <x:v>8931</x:v>
      </x:c>
      <x:c r="E64" s="118" t="n">
        <x:f>D64</x:f>
        <x:v>8931</x:v>
      </x:c>
      <x:c r="F64" s="118" t="n">
        <x:f>E64</x:f>
        <x:v>8931</x:v>
      </x:c>
      <x:c r="G64" s="118" t="n">
        <x:f>F64</x:f>
        <x:v>8931</x:v>
      </x:c>
      <x:c r="H64" s="118" t="n">
        <x:f>G64</x:f>
        <x:v>8931</x:v>
      </x:c>
      <x:c r="I64" s="118" t="n">
        <x:f>H64</x:f>
        <x:v>8931</x:v>
      </x:c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 t="str">
        <x:v>Deferred tax assets</x:v>
      </x:c>
      <x:c r="B65" s="111" t="n">
        <x:v>170</x:v>
      </x:c>
      <x:c r="C65" s="111" t="n">
        <x:v>6171</x:v>
      </x:c>
      <x:c r="D65" s="111" t="n">
        <x:v>10951</x:v>
      </x:c>
      <x:c r="E65" s="118" t="n">
        <x:f>D65</x:f>
        <x:v>10951</x:v>
      </x:c>
      <x:c r="F65" s="118" t="n">
        <x:f>E65</x:f>
        <x:v>10951</x:v>
      </x:c>
      <x:c r="G65" s="118" t="n">
        <x:f>F65</x:f>
        <x:v>10951</x:v>
      </x:c>
      <x:c r="H65" s="118" t="n">
        <x:f>G65</x:f>
        <x:v>10951</x:v>
      </x:c>
      <x:c r="I65" s="118" t="n">
        <x:f>H65</x:f>
        <x:v>10951</x:v>
      </x:c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 t="str">
        <x:v>Other assets / balance plug</x:v>
      </x:c>
      <x:c r="B66" s="111" t="n">
        <x:v>1590</x:v>
      </x:c>
      <x:c r="C66" s="111" t="n">
        <x:v>2574</x:v>
      </x:c>
      <x:c r="D66" s="111" t="n">
        <x:v>3618</x:v>
      </x:c>
      <x:c r="E66" s="118" t="n">
        <x:f>E86-E56-SUM(E57:E65)</x:f>
        <x:v>3722.800000000003</x:v>
      </x:c>
      <x:c r="F66" s="118" t="n">
        <x:f>F86-F56-SUM(F57:F65)</x:f>
        <x:v>3817.120000000017</x:v>
      </x:c>
      <x:c r="G66" s="118" t="n">
        <x:f>G86-G56-SUM(G57:G65)</x:f>
        <x:v>3902.008000000009</x:v>
      </x:c>
      <x:c r="H66" s="118" t="n">
        <x:f>H86-H56-SUM(H57:H65)</x:f>
        <x:v>3978.4072000000087</x:v>
      </x:c>
      <x:c r="I66" s="118" t="n">
        <x:f>I86-I56-SUM(I57:I65)</x:f>
        <x:v>4047.16648</x:v>
      </x:c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166" t="str">
        <x:v>Total assets</x:v>
      </x:c>
      <x:c r="B67" s="167" t="n">
        <x:v>38699</x:v>
      </x:c>
      <x:c r="C67" s="167" t="n">
        <x:v>51244</x:v>
      </x:c>
      <x:c r="D67" s="167" t="n">
        <x:v>61802</x:v>
      </x:c>
      <x:c r="E67" s="168" t="n">
        <x:f>SUM(E56:E66)</x:f>
        <x:v>70441.36064896152</x:v>
      </x:c>
      <x:c r="F67" s="168" t="n">
        <x:f>SUM(F56:F66)</x:f>
        <x:v>80332.45278013739</x:v>
      </x:c>
      <x:c r="G67" s="168" t="n">
        <x:f>SUM(G56:G66)</x:f>
        <x:v>91533.28981881353</x:v>
      </x:c>
      <x:c r="H67" s="168" t="n">
        <x:f>SUM(H56:H66)</x:f>
        <x:v>104128.8075471035</x:v>
      </x:c>
      <x:c r="I67" s="168" t="n">
        <x:f>SUM(I56:I66)</x:f>
        <x:v>117993.54605369971</x:v>
      </x:c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119" t="str">
        <x:v>Accounts payable</x:v>
      </x:c>
      <x:c r="B68" s="120" t="n">
        <x:v>790</x:v>
      </x:c>
      <x:c r="C68" s="120" t="n">
        <x:v>858</x:v>
      </x:c>
      <x:c r="D68" s="120" t="n">
        <x:v>1013</x:v>
      </x:c>
      <x:c r="E68" s="121" t="n">
        <x:f>E8*Assumptions!B24</x:f>
        <x:v>1132.7876</x:v>
      </x:c>
      <x:c r="F68" s="121" t="n">
        <x:f>F8*Assumptions!C24</x:f>
        <x:v>1278.696732</x:v>
      </x:c>
      <x:c r="G68" s="121" t="n">
        <x:f>G8*Assumptions!D24</x:f>
        <x:v>1422.6544842</x:v>
      </x:c>
      <x:c r="H68" s="121" t="n">
        <x:f>H8*Assumptions!E24</x:f>
        <x:v>1565.7513488700001</x:v>
      </x:c>
      <x:c r="I68" s="121" t="n">
        <x:f>I8*Assumptions!F24</x:f>
        <x:v>1703.7069197389803</x:v>
      </x:c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 t="str">
        <x:v>Short-term insurance reserves</x:v>
      </x:c>
      <x:c r="B69" s="111" t="n">
        <x:v>2077</x:v>
      </x:c>
      <x:c r="C69" s="111" t="n">
        <x:v>2754</x:v>
      </x:c>
      <x:c r="D69" s="111" t="n">
        <x:v>3387</x:v>
      </x:c>
      <x:c r="E69" s="118" t="n">
        <x:f>D69*(1+E9)</x:f>
        <x:v>3882.082680662091</x:v>
      </x:c>
      <x:c r="F69" s="118" t="n">
        <x:f>E69*(1+F9)</x:f>
        <x:v>4382.115797450834</x:v>
      </x:c>
      <x:c r="G69" s="118" t="n">
        <x:f>F69*(1+G9)</x:f>
        <x:v>4875.461501943596</x:v>
      </x:c>
      <x:c r="H69" s="118" t="n">
        <x:f>G69*(1+H9)</x:f>
        <x:v>5365.856929994234</x:v>
      </x:c>
      <x:c r="I69" s="118" t="n">
        <x:f>H69*(1+I9)</x:f>
        <x:v>5838.63305534317</x:v>
      </x:c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 t="str">
        <x:v>Operating lease liabilities, current</x:v>
      </x:c>
      <x:c r="B70" s="111" t="n">
        <x:v>190</x:v>
      </x:c>
      <x:c r="C70" s="111" t="n">
        <x:v>175</x:v>
      </x:c>
      <x:c r="D70" s="111" t="n">
        <x:v>169</x:v>
      </x:c>
      <x:c r="E70" s="118" t="n">
        <x:f>D70</x:f>
        <x:v>169</x:v>
      </x:c>
      <x:c r="F70" s="118" t="n">
        <x:f>E70</x:f>
        <x:v>169</x:v>
      </x:c>
      <x:c r="G70" s="118" t="n">
        <x:f>F70</x:f>
        <x:v>169</x:v>
      </x:c>
      <x:c r="H70" s="118" t="n">
        <x:f>G70</x:f>
        <x:v>169</x:v>
      </x:c>
      <x:c r="I70" s="118" t="n">
        <x:f>H70</x:f>
        <x:v>169</x:v>
      </x:c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 t="str">
        <x:v>Accrued and other current liabilities</x:v>
      </x:c>
      <x:c r="B71" s="111" t="n">
        <x:v>6397</x:v>
      </x:c>
      <x:c r="C71" s="111" t="n">
        <x:v>7689</x:v>
      </x:c>
      <x:c r="D71" s="111" t="n">
        <x:v>7751</x:v>
      </x:c>
      <x:c r="E71" s="118" t="n">
        <x:f>E8*Assumptions!B25</x:f>
        <x:v>8883.4396</x:v>
      </x:c>
      <x:c r="F71" s="118" t="n">
        <x:f>F8*Assumptions!C25</x:f>
        <x:v>9960.374544</x:v>
      </x:c>
      <x:c r="G71" s="118" t="n">
        <x:f>G8*Assumptions!D25</x:f>
        <x:v>11006.853114599999</x:v>
      </x:c>
      <x:c r="H71" s="118" t="n">
        <x:f>H8*Assumptions!E25</x:f>
        <x:v>12031.562996580002</x:v>
      </x:c>
      <x:c r="I71" s="118" t="n">
        <x:f>I8*Assumptions!F25</x:f>
        <x:v>13001.973861165901</x:v>
      </x:c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166" t="str">
        <x:v>Total current liabilities</x:v>
      </x:c>
      <x:c r="B72" s="167" t="n">
        <x:v>9454</x:v>
      </x:c>
      <x:c r="C72" s="167" t="n">
        <x:v>11476</x:v>
      </x:c>
      <x:c r="D72" s="167" t="n">
        <x:v>12320</x:v>
      </x:c>
      <x:c r="E72" s="168" t="n">
        <x:f>SUM(E68:E71)</x:f>
        <x:v>14067.309880662091</x:v>
      </x:c>
      <x:c r="F72" s="168" t="n">
        <x:f>SUM(F68:F71)</x:f>
        <x:v>15790.187073450834</x:v>
      </x:c>
      <x:c r="G72" s="168" t="n">
        <x:f>SUM(G68:G71)</x:f>
        <x:v>17473.969100743594</x:v>
      </x:c>
      <x:c r="H72" s="168" t="n">
        <x:f>SUM(H68:H71)</x:f>
        <x:v>19132.171275444234</x:v>
      </x:c>
      <x:c r="I72" s="168" t="n">
        <x:f>SUM(I68:I71)</x:f>
        <x:v>20713.313836248053</x:v>
      </x:c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119" t="str">
        <x:v>Long-term insurance reserves</x:v>
      </x:c>
      <x:c r="B73" s="120" t="n">
        <x:v>4909</x:v>
      </x:c>
      <x:c r="C73" s="120" t="n">
        <x:v>7042</x:v>
      </x:c>
      <x:c r="D73" s="120" t="n">
        <x:v>9076</x:v>
      </x:c>
      <x:c r="E73" s="121" t="n">
        <x:f>D73*(1+E9)</x:f>
        <x:v>10402.652025299421</x:v>
      </x:c>
      <x:c r="F73" s="121" t="n">
        <x:f>E73*(1+F9)</x:f>
        <x:v>11742.569523963322</x:v>
      </x:c>
      <x:c r="G73" s="121" t="n">
        <x:f>F73*(1+G9)</x:f>
        <x:v>13064.567048018918</x:v>
      </x:c>
      <x:c r="H73" s="121" t="n">
        <x:f>G73*(1+H9)</x:f>
        <x:v>14378.658841637929</x:v>
      </x:c>
      <x:c r="I73" s="121" t="n">
        <x:f>H73*(1+I9)</x:f>
        <x:v>15645.536938380457</x:v>
      </x:c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 t="str">
        <x:v>Long-term debt</x:v>
      </x:c>
      <x:c r="B74" s="111" t="n">
        <x:v>9459</x:v>
      </x:c>
      <x:c r="C74" s="111" t="n">
        <x:v>8347</x:v>
      </x:c>
      <x:c r="D74" s="111" t="n">
        <x:v>10521</x:v>
      </x:c>
      <x:c r="E74" s="118" t="n">
        <x:f>Assumptions!B26</x:f>
        <x:v>10521</x:v>
      </x:c>
      <x:c r="F74" s="118" t="n">
        <x:f>Assumptions!C26</x:f>
        <x:v>10521</x:v>
      </x:c>
      <x:c r="G74" s="118" t="n">
        <x:f>Assumptions!D26</x:f>
        <x:v>10521</x:v>
      </x:c>
      <x:c r="H74" s="118" t="n">
        <x:f>Assumptions!E26</x:f>
        <x:v>10521</x:v>
      </x:c>
      <x:c r="I74" s="118" t="n">
        <x:f>Assumptions!F26</x:f>
        <x:v>10521</x:v>
      </x:c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 t="str">
        <x:v>Operating lease liabilities, non-current</x:v>
      </x:c>
      <x:c r="B75" s="111" t="n">
        <x:v>1550</x:v>
      </x:c>
      <x:c r="C75" s="111" t="n">
        <x:v>1454</x:v>
      </x:c>
      <x:c r="D75" s="111" t="n">
        <x:v>1390</x:v>
      </x:c>
      <x:c r="E75" s="118" t="n">
        <x:f>D75</x:f>
        <x:v>1390</x:v>
      </x:c>
      <x:c r="F75" s="118" t="n">
        <x:f>E75</x:f>
        <x:v>1390</x:v>
      </x:c>
      <x:c r="G75" s="118" t="n">
        <x:f>F75</x:f>
        <x:v>1390</x:v>
      </x:c>
      <x:c r="H75" s="118" t="n">
        <x:f>G75</x:f>
        <x:v>1390</x:v>
      </x:c>
      <x:c r="I75" s="118" t="n">
        <x:f>H75</x:f>
        <x:v>1390</x:v>
      </x:c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 t="str">
        <x:v>Other long-term liabilities</x:v>
      </x:c>
      <x:c r="B76" s="111" t="n">
        <x:v>645</x:v>
      </x:c>
      <x:c r="C76" s="111" t="n">
        <x:v>449</x:v>
      </x:c>
      <x:c r="D76" s="111" t="n">
        <x:v>412</x:v>
      </x:c>
      <x:c r="E76" s="118" t="n">
        <x:f>D76</x:f>
        <x:v>412</x:v>
      </x:c>
      <x:c r="F76" s="118" t="n">
        <x:f>E76</x:f>
        <x:v>412</x:v>
      </x:c>
      <x:c r="G76" s="118" t="n">
        <x:f>F76</x:f>
        <x:v>412</x:v>
      </x:c>
      <x:c r="H76" s="118" t="n">
        <x:f>G76</x:f>
        <x:v>412</x:v>
      </x:c>
      <x:c r="I76" s="118" t="n">
        <x:f>H76</x:f>
        <x:v>412</x:v>
      </x:c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166" t="str">
        <x:v>Total liabilities</x:v>
      </x:c>
      <x:c r="B77" s="167" t="n">
        <x:v>26017</x:v>
      </x:c>
      <x:c r="C77" s="167" t="n">
        <x:v>28768</x:v>
      </x:c>
      <x:c r="D77" s="167" t="n">
        <x:v>33719</x:v>
      </x:c>
      <x:c r="E77" s="168" t="n">
        <x:f>SUM(E72:E76)</x:f>
        <x:v>36792.961905961514</x:v>
      </x:c>
      <x:c r="F77" s="168" t="n">
        <x:f>SUM(F72:F76)</x:f>
        <x:v>39855.756597414154</x:v>
      </x:c>
      <x:c r="G77" s="168" t="n">
        <x:f>SUM(G72:G76)</x:f>
        <x:v>42861.53614876251</x:v>
      </x:c>
      <x:c r="H77" s="168" t="n">
        <x:f>SUM(H72:H76)</x:f>
        <x:v>45833.830117082165</x:v>
      </x:c>
      <x:c r="I77" s="168" t="n">
        <x:f>SUM(I72:I76)</x:f>
        <x:v>48681.85077462851</x:v>
      </x:c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119" t="str">
        <x:v>Redeemable non-controlling interests</x:v>
      </x:c>
      <x:c r="B78" s="120" t="n">
        <x:v>654</x:v>
      </x:c>
      <x:c r="C78" s="120" t="n">
        <x:v>93</x:v>
      </x:c>
      <x:c r="D78" s="120" t="n">
        <x:v>165</x:v>
      </x:c>
      <x:c r="E78" s="121" t="n">
        <x:f>D78</x:f>
        <x:v>165</x:v>
      </x:c>
      <x:c r="F78" s="121" t="n">
        <x:f>E78</x:f>
        <x:v>165</x:v>
      </x:c>
      <x:c r="G78" s="121" t="n">
        <x:f>F78</x:f>
        <x:v>165</x:v>
      </x:c>
      <x:c r="H78" s="121" t="n">
        <x:f>G78</x:f>
        <x:v>165</x:v>
      </x:c>
      <x:c r="I78" s="121" t="n">
        <x:f>H78</x:f>
        <x:v>165</x:v>
      </x:c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 t="str">
        <x:v>Additional paid-in capital</x:v>
      </x:c>
      <x:c r="B79" s="111" t="n">
        <x:v>42264</x:v>
      </x:c>
      <x:c r="C79" s="111" t="n">
        <x:v>42801</x:v>
      </x:c>
      <x:c r="D79" s="111" t="n">
        <x:v>38101</x:v>
      </x:c>
      <x:c r="E79" s="118" t="n">
        <x:f>D79+E37-E80</x:f>
        <x:v>38068.4732</x:v>
      </x:c>
      <x:c r="F79" s="118" t="n">
        <x:f>E79+F37-F80</x:f>
        <x:v>37654.767868</x:v>
      </x:c>
      <x:c r="G79" s="118" t="n">
        <x:f>F79+G37-G80</x:f>
        <x:v>36826.1878702</x:v>
      </x:c>
      <x:c r="H79" s="118" t="n">
        <x:f>G79+H37-H80</x:f>
        <x:v>35551.20294491</x:v>
      </x:c>
      <x:c r="I79" s="118" t="n">
        <x:f>H79+I37-I80</x:f>
        <x:v>33792.9225761455</x:v>
      </x:c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 t="str">
        <x:v>Share repurchases / other equity activity</x:v>
      </x:c>
      <x:c r="B80" s="111" t="n">
        <x:v>0</x:v>
      </x:c>
      <x:c r="C80" s="111" t="n">
        <x:v>1252</x:v>
      </x:c>
      <x:c r="D80" s="111" t="n">
        <x:v>6523</x:v>
      </x:c>
      <x:c r="E80" s="118" t="n">
        <x:f>Assumptions!B27</x:f>
        <x:v>2000</x:v>
      </x:c>
      <x:c r="F80" s="118" t="n">
        <x:f>Assumptions!C27</x:f>
        <x:v>2500</x:v>
      </x:c>
      <x:c r="G80" s="118" t="n">
        <x:f>Assumptions!D27</x:f>
        <x:v>3000</x:v>
      </x:c>
      <x:c r="H80" s="118" t="n">
        <x:f>Assumptions!E27</x:f>
        <x:v>3500</x:v>
      </x:c>
      <x:c r="I80" s="118" t="n">
        <x:f>Assumptions!F27</x:f>
        <x:v>4000</x:v>
      </x:c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 t="str">
        <x:v>Accumulated other comprehensive loss</x:v>
      </x:c>
      <x:c r="B81" s="111" t="n">
        <x:v>-421</x:v>
      </x:c>
      <x:c r="C81" s="111" t="n">
        <x:v>-517</x:v>
      </x:c>
      <x:c r="D81" s="111" t="n">
        <x:v>-432</x:v>
      </x:c>
      <x:c r="E81" s="118" t="n">
        <x:f>D81</x:f>
        <x:v>-432</x:v>
      </x:c>
      <x:c r="F81" s="118" t="n">
        <x:f>E81</x:f>
        <x:v>-432</x:v>
      </x:c>
      <x:c r="G81" s="118" t="n">
        <x:f>F81</x:f>
        <x:v>-432</x:v>
      </x:c>
      <x:c r="H81" s="118" t="n">
        <x:f>G81</x:f>
        <x:v>-432</x:v>
      </x:c>
      <x:c r="I81" s="118" t="n">
        <x:f>H81</x:f>
        <x:v>-432</x:v>
      </x:c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 t="str">
        <x:v>Accumulated deficit</x:v>
      </x:c>
      <x:c r="B82" s="111" t="n">
        <x:v>-30594</x:v>
      </x:c>
      <x:c r="C82" s="111" t="n">
        <x:v>-20726</x:v>
      </x:c>
      <x:c r="D82" s="111" t="n">
        <x:v>-10628</x:v>
      </x:c>
      <x:c r="E82" s="118" t="n">
        <x:f>D82+E30</x:f>
        <x:v>-5080.074456999997</x:v>
      </x:c>
      <x:c r="F82" s="118" t="n">
        <x:f>E82+F30</x:f>
        <x:v>2106.928314723228</x:v>
      </x:c>
      <x:c r="G82" s="118" t="n">
        <x:f>F82+G30</x:f>
        <x:v>11070.56579985101</x:v>
      </x:c>
      <x:c r="H82" s="118" t="n">
        <x:f>G82+H30</x:f>
        <x:v>21903.774485111324</x:v>
      </x:c>
      <x:c r="I82" s="118" t="n">
        <x:f>H82+I30</x:f>
        <x:v>34608.7727029257</x:v>
      </x:c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166" t="str">
        <x:v>Total Uber stockholders' equity</x:v>
      </x:c>
      <x:c r="B83" s="167" t="n">
        <x:v>11249</x:v>
      </x:c>
      <x:c r="C83" s="167" t="n">
        <x:v>21558</x:v>
      </x:c>
      <x:c r="D83" s="167" t="n">
        <x:v>27041</x:v>
      </x:c>
      <x:c r="E83" s="168" t="n">
        <x:f>SUM(E79,E81:E82)</x:f>
        <x:v>32556.398743000005</x:v>
      </x:c>
      <x:c r="F83" s="168" t="n">
        <x:f>SUM(F79,F81:F82)</x:f>
        <x:v>39329.69618272323</x:v>
      </x:c>
      <x:c r="G83" s="168" t="n">
        <x:f>SUM(G79,G81:G82)</x:f>
        <x:v>47464.75367005101</x:v>
      </x:c>
      <x:c r="H83" s="168" t="n">
        <x:f>SUM(H79,H81:H82)</x:f>
        <x:v>57022.977430021325</x:v>
      </x:c>
      <x:c r="I83" s="168" t="n">
        <x:f>SUM(I79,I81:I82)</x:f>
        <x:v>67969.6952790712</x:v>
      </x:c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 t="str">
        <x:v>Non-redeemable NCI</x:v>
      </x:c>
      <x:c r="B84" s="111" t="n">
        <x:v>779</x:v>
      </x:c>
      <x:c r="C84" s="111" t="n">
        <x:v>825</x:v>
      </x:c>
      <x:c r="D84" s="111" t="n">
        <x:v>877</x:v>
      </x:c>
      <x:c r="E84" s="118" t="n">
        <x:f>D84+E29</x:f>
        <x:v>927</x:v>
      </x:c>
      <x:c r="F84" s="118" t="n">
        <x:f>E84+F29</x:f>
        <x:v>982</x:v>
      </x:c>
      <x:c r="G84" s="118" t="n">
        <x:f>F84+G29</x:f>
        <x:v>1042</x:v>
      </x:c>
      <x:c r="H84" s="118" t="n">
        <x:f>G84+H29</x:f>
        <x:v>1107</x:v>
      </x:c>
      <x:c r="I84" s="118" t="n">
        <x:f>H84+I29</x:f>
        <x:v>1177</x:v>
      </x:c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166" t="str">
        <x:v>Total equity</x:v>
      </x:c>
      <x:c r="B85" s="167" t="n">
        <x:v>12028</x:v>
      </x:c>
      <x:c r="C85" s="167" t="n">
        <x:v>22383</x:v>
      </x:c>
      <x:c r="D85" s="167" t="n">
        <x:v>27918</x:v>
      </x:c>
      <x:c r="E85" s="168" t="n">
        <x:f>E83+E84</x:f>
        <x:v>33483.398743000005</x:v>
      </x:c>
      <x:c r="F85" s="168" t="n">
        <x:f>F83+F84</x:f>
        <x:v>40311.69618272323</x:v>
      </x:c>
      <x:c r="G85" s="168" t="n">
        <x:f>G83+G84</x:f>
        <x:v>48506.75367005101</x:v>
      </x:c>
      <x:c r="H85" s="168" t="n">
        <x:f>H83+H84</x:f>
        <x:v>58129.977430021325</x:v>
      </x:c>
      <x:c r="I85" s="168" t="n">
        <x:f>I83+I84</x:f>
        <x:v>69146.6952790712</x:v>
      </x:c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166" t="str">
        <x:v>Total liabilities, redeemable NCI and equity</x:v>
      </x:c>
      <x:c r="B86" s="167" t="n">
        <x:v>38699</x:v>
      </x:c>
      <x:c r="C86" s="167" t="n">
        <x:v>51244</x:v>
      </x:c>
      <x:c r="D86" s="167" t="n">
        <x:v>61802</x:v>
      </x:c>
      <x:c r="E86" s="168" t="n">
        <x:f>SUM(E77:E78,E85)</x:f>
        <x:v>70441.36064896152</x:v>
      </x:c>
      <x:c r="F86" s="168" t="n">
        <x:f>SUM(F77:F78,F85)</x:f>
        <x:v>80332.45278013739</x:v>
      </x:c>
      <x:c r="G86" s="168" t="n">
        <x:f>SUM(G77:G78,G85)</x:f>
        <x:v>91533.28981881353</x:v>
      </x:c>
      <x:c r="H86" s="168" t="n">
        <x:f>SUM(H77:H78,H85)</x:f>
        <x:v>104128.8075471035</x:v>
      </x:c>
      <x:c r="I86" s="168" t="n">
        <x:f>SUM(I77:I78,I85)</x:f>
        <x:v>117993.54605369971</x:v>
      </x:c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172" t="str">
        <x:v>Balance sheet check</x:v>
      </x:c>
      <x:c r="B87" s="173" t="n">
        <x:v>0</x:v>
      </x:c>
      <x:c r="C87" s="173" t="n">
        <x:v>0</x:v>
      </x:c>
      <x:c r="D87" s="173" t="n">
        <x:v>0</x:v>
      </x:c>
      <x:c r="E87" s="174" t="n">
        <x:f>E67-E86</x:f>
        <x:v>0</x:v>
      </x:c>
      <x:c r="F87" s="174" t="n">
        <x:f>F67-F86</x:f>
        <x:v>0</x:v>
      </x:c>
      <x:c r="G87" s="174" t="n">
        <x:f>G67-G86</x:f>
        <x:v>0</x:v>
      </x:c>
      <x:c r="H87" s="174" t="n">
        <x:f>H67-H86</x:f>
        <x:v>0</x:v>
      </x:c>
      <x:c r="I87" s="174" t="n">
        <x:f>I67-I86</x:f>
        <x:v>0</x:v>
      </x:c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119"/>
      <x:c r="B88" s="120"/>
      <x:c r="C88" s="120"/>
      <x:c r="D88" s="120"/>
      <x:c r="E88" s="121"/>
      <x:c r="F88" s="121"/>
      <x:c r="G88" s="121"/>
      <x:c r="H88" s="121"/>
      <x:c r="I88" s="121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127"/>
      <x:c r="B89" s="128"/>
      <x:c r="C89" s="128"/>
      <x:c r="D89" s="128"/>
      <x:c r="E89" s="129"/>
      <x:c r="F89" s="129"/>
      <x:c r="G89" s="129"/>
      <x:c r="H89" s="129"/>
      <x:c r="I89" s="129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8" max="8" width="28" hidden="0" customWidth="1"/>
  </x:cols>
  <x:sheetData>
    <x:row r="1">
      <x:c r="A1" s="19" t="str">
        <x:v>Uber DCF Valuation — Formula-Driven Forecast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61" t="str">
        <x:v>$mm except per-share</x:v>
      </x:c>
      <x:c r="B3" s="161" t="str">
        <x:v>2026E</x:v>
      </x:c>
      <x:c r="C3" s="161" t="str">
        <x:v>2027E</x:v>
      </x:c>
      <x:c r="D3" s="161" t="str">
        <x:v>2028E</x:v>
      </x:c>
      <x:c r="E3" s="161" t="str">
        <x:v>2029E</x:v>
      </x:c>
      <x:c r="F3" s="161" t="str">
        <x:v>2030E</x:v>
      </x:c>
      <x:c r="G3" s="161" t="str">
        <x:v>Terminal</x:v>
      </x:c>
      <x:c r="H3" s="161" t="str">
        <x:v>Source / formula</x:v>
      </x:c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EBIT</x:v>
      </x:c>
      <x:c r="B4" s="142" t="n">
        <x:f>Model!E20</x:f>
        <x:v>7184.258200000004</x:v>
      </x:c>
      <x:c r="C4" s="142" t="n">
        <x:f>Model!F20</x:f>
        <x:v>8930.687175600004</x:v>
      </x:c>
      <x:c r="D4" s="142" t="n">
        <x:f>Model!G20</x:f>
        <x:v>10857.100011000002</x:v>
      </x:c>
      <x:c r="E4" s="142" t="n">
        <x:f>Model!H20</x:f>
        <x:v>12872.124247026004</x:v>
      </x:c>
      <x:c r="F4" s="142" t="n">
        <x:f>Model!I20</x:f>
        <x:v>14929.852744028438</x:v>
      </x:c>
      <x:c r="G4" s="142"/>
      <x:c r="H4" s="92" t="str">
        <x:v>Model</x:v>
      </x:c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Tax on EBIT</x:v>
      </x:c>
      <x:c r="B5" s="142" t="n">
        <x:f>B4*Assumptions!B16</x:f>
        <x:v>1508.6942220000008</x:v>
      </x:c>
      <x:c r="C5" s="142" t="n">
        <x:f>C4*Assumptions!C16</x:f>
        <x:v>1875.4443068760006</x:v>
      </x:c>
      <x:c r="D5" s="142" t="n">
        <x:f>D4*Assumptions!D16</x:f>
        <x:v>2279.9910023100006</x:v>
      </x:c>
      <x:c r="E5" s="142" t="n">
        <x:f>E4*Assumptions!E16</x:f>
        <x:v>2703.1460918754606</x:v>
      </x:c>
      <x:c r="F5" s="142" t="n">
        <x:f>F4*Assumptions!F16</x:f>
        <x:v>3135.269076245972</x:v>
      </x:c>
      <x:c r="G5" s="142"/>
      <x:c r="H5" s="92" t="str">
        <x:v>EBIT x tax rate</x:v>
      </x:c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NOPAT</x:v>
      </x:c>
      <x:c r="B6" s="142" t="n">
        <x:f>B4-B5</x:f>
        <x:v>5675.563978000003</x:v>
      </x:c>
      <x:c r="C6" s="142" t="n">
        <x:f>C4-C5</x:f>
        <x:v>7055.242868724003</x:v>
      </x:c>
      <x:c r="D6" s="142" t="n">
        <x:f>D4-D5</x:f>
        <x:v>8577.109008690002</x:v>
      </x:c>
      <x:c r="E6" s="142" t="n">
        <x:f>E4-E5</x:f>
        <x:v>10168.978155150544</x:v>
      </x:c>
      <x:c r="F6" s="142" t="n">
        <x:f>F4-F5</x:f>
        <x:v>11794.583667782466</x:v>
      </x:c>
      <x:c r="G6" s="142"/>
      <x:c r="H6" s="92" t="str">
        <x:v>EBIT less cash taxes</x:v>
      </x:c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D&amp;A</x:v>
      </x:c>
      <x:c r="B7" s="142" t="n">
        <x:f>Model!E18</x:f>
        <x:v>804.8754</x:v>
      </x:c>
      <x:c r="C7" s="142" t="n">
        <x:f>Model!F18</x:f>
        <x:v>895.0877124000001</x:v>
      </x:c>
      <x:c r="D7" s="142" t="n">
        <x:f>Model!G18</x:f>
        <x:v>973.3951734</x:v>
      </x:c>
      <x:c r="E7" s="142" t="n">
        <x:f>Model!H18</x:f>
        <x:v>1054.821961344</x:v>
      </x:c>
      <x:c r="F7" s="142" t="n">
        <x:f>Model!I18</x:f>
        <x:v>1120.8598156177502</x:v>
      </x:c>
      <x:c r="G7" s="142"/>
      <x:c r="H7" s="92" t="str">
        <x:v>Model</x:v>
      </x:c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 t="str">
        <x:v>Capex</x:v>
      </x:c>
      <x:c r="B8" s="142" t="n">
        <x:f>Model!E47</x:f>
        <x:v>-476.96320000000003</x:v>
      </x:c>
      <x:c r="C8" s="142" t="n">
        <x:f>Model!F47</x:f>
        <x:v>-538.398624</x:v>
      </x:c>
      <x:c r="D8" s="142" t="n">
        <x:f>Model!G47</x:f>
        <x:v>-599.0124144</x:v>
      </x:c>
      <x:c r="E8" s="142" t="n">
        <x:f>Model!H47</x:f>
        <x:v>-659.2637258400001</x:v>
      </x:c>
      <x:c r="F8" s="142" t="n">
        <x:f>Model!I47</x:f>
        <x:v>-717.3502819953602</x:v>
      </x:c>
      <x:c r="G8" s="142"/>
      <x:c r="H8" s="92" t="str">
        <x:v>Model</x:v>
      </x:c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Change in NWC</x:v>
      </x:c>
      <x:c r="B9" s="142" t="n">
        <x:f>-(Model!E40+Model!E41+Model!E42+Model!E43+Model!E44)</x:f>
        <x:v>-2244.7179059615128</x:v>
      </x:c>
      <x:c r="C9" s="142" t="n">
        <x:f>-(Model!F40+Model!F41+Model!F42+Model!F43+Model!F44)</x:f>
        <x:v>-2218.057611452643</x:v>
      </x:c>
      <x:c r="D9" s="142" t="n">
        <x:f>-(Model!G40+Model!G41+Model!G42+Model!G43+Model!G44)</x:f>
        <x:v>-2172.3399333483567</x:v>
      </x:c>
      <x:c r="E9" s="142" t="n">
        <x:f>-(Model!H40+Model!H41+Model!H42+Model!H43+Model!H44)</x:f>
        <x:v>-2143.8384360196505</x:v>
      </x:c>
      <x:c r="F9" s="142" t="n">
        <x:f>-(Model!I40+Model!I41+Model!I42+Model!I43+Model!I44)</x:f>
        <x:v>-2049.330510410143</x:v>
      </x:c>
      <x:c r="G9" s="142"/>
      <x:c r="H9" s="92" t="str">
        <x:v>Working-capital items</x:v>
      </x:c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Unlevered FCF</x:v>
      </x:c>
      <x:c r="B10" s="142" t="n">
        <x:f>B6+B7+B8-B9</x:f>
        <x:v>8248.194083961516</x:v>
      </x:c>
      <x:c r="C10" s="142" t="n">
        <x:f>C6+C7+C8-C9</x:f>
        <x:v>9629.989568576646</x:v>
      </x:c>
      <x:c r="D10" s="142" t="n">
        <x:f>D6+D7+D8-D9</x:f>
        <x:v>11123.831701038358</x:v>
      </x:c>
      <x:c r="E10" s="142" t="n">
        <x:f>E6+E7+E8-E9</x:f>
        <x:v>12708.374826674193</x:v>
      </x:c>
      <x:c r="F10" s="142" t="n">
        <x:f>F6+F7+F8-F9</x:f>
        <x:v>14247.423711814998</x:v>
      </x:c>
      <x:c r="G10" s="142" t="n">
        <x:f>F10*(1+Assumptions!B30)</x:f>
        <x:v>14674.846423169449</x:v>
      </x:c>
      <x:c r="H10" s="92" t="str">
        <x:v>NOPAT + D&amp;A - Capex - ΔNWC</x:v>
      </x:c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Discount period</x:v>
      </x:c>
      <x:c r="B11" s="142" t="n">
        <x:v>0.5</x:v>
      </x:c>
      <x:c r="C11" s="142" t="n">
        <x:v>1.5</x:v>
      </x:c>
      <x:c r="D11" s="142" t="n">
        <x:v>2.5</x:v>
      </x:c>
      <x:c r="E11" s="142" t="n">
        <x:v>3.5</x:v>
      </x:c>
      <x:c r="F11" s="142" t="n">
        <x:v>4.5</x:v>
      </x:c>
      <x:c r="G11" s="142"/>
      <x:c r="H11" s="92" t="str">
        <x:v>Mid-year convention</x:v>
      </x:c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Discount factor</x:v>
      </x:c>
      <x:c r="B12" s="143" t="n">
        <x:f>1/(1+Assumptions!B29)^B11</x:f>
        <x:v>0.9600307214746386</x:v>
      </x:c>
      <x:c r="C12" s="143" t="n">
        <x:f>1/(1+Assumptions!B29)^C11</x:f>
        <x:v>0.88482094145128</x:v>
      </x:c>
      <x:c r="D12" s="143" t="n">
        <x:f>1/(1+Assumptions!B29)^D11</x:f>
        <x:v>0.8155031718444976</x:v>
      </x:c>
      <x:c r="E12" s="143" t="n">
        <x:f>1/(1+Assumptions!B29)^E11</x:f>
        <x:v>0.7516158265847905</x:v>
      </x:c>
      <x:c r="F12" s="143" t="n">
        <x:f>1/(1+Assumptions!B29)^F11</x:f>
        <x:v>0.6927334807233092</x:v>
      </x:c>
      <x:c r="G12" s="142"/>
      <x:c r="H12" s="92" t="str">
        <x:v>WACC</x:v>
      </x:c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 t="str">
        <x:v>PV of FCF</x:v>
      </x:c>
      <x:c r="B13" s="142" t="n">
        <x:f>B10*B12</x:f>
        <x:v>7918.519717288421</x:v>
      </x:c>
      <x:c r="C13" s="142" t="n">
        <x:f>C10*C12</x:f>
        <x:v>8520.816436233994</x:v>
      </x:c>
      <x:c r="D13" s="142" t="n">
        <x:f>D10*D12</x:f>
        <x:v>9071.520035261154</x:v>
      </x:c>
      <x:c r="E13" s="142" t="n">
        <x:f>E10*E12</x:f>
        <x:v>9551.815649900067</x:v>
      </x:c>
      <x:c r="F13" s="142" t="n">
        <x:f>F10*F12</x:f>
        <x:v>9869.667419225412</x:v>
      </x:c>
      <x:c r="G13" s="142"/>
      <x:c r="H13" s="92" t="str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 t="str">
        <x:v>Terminal value</x:v>
      </x:c>
      <x:c r="B14" s="142"/>
      <x:c r="C14" s="142"/>
      <x:c r="D14" s="142"/>
      <x:c r="E14" s="142"/>
      <x:c r="F14" s="142"/>
      <x:c r="G14" s="142" t="n">
        <x:f>G10/(Assumptions!B29-Assumptions!B30)</x:f>
        <x:v>266815.38951217174</x:v>
      </x:c>
      <x:c r="H14" s="92" t="str">
        <x:v>Gordon growth</x:v>
      </x:c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 t="str">
        <x:v>PV of terminal value</x:v>
      </x:c>
      <x:c r="B15" s="142"/>
      <x:c r="C15" s="142"/>
      <x:c r="D15" s="142"/>
      <x:c r="E15" s="142"/>
      <x:c r="F15" s="142"/>
      <x:c r="G15" s="142" t="n">
        <x:f>G14*F12</x:f>
        <x:v>184831.95348731225</x:v>
      </x:c>
      <x:c r="H15" s="92" t="str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 t="str">
        <x:v>Enterprise value</x:v>
      </x:c>
      <x:c r="B16" s="142"/>
      <x:c r="C16" s="142"/>
      <x:c r="D16" s="142"/>
      <x:c r="E16" s="142"/>
      <x:c r="F16" s="142"/>
      <x:c r="G16" s="142" t="n">
        <x:f>SUM(B13:F13)+G15</x:f>
        <x:v>229764.2927452213</x:v>
      </x:c>
      <x:c r="H16" s="92" t="str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 t="str">
        <x:v>Plus: Cash &amp; ST investments</x:v>
      </x:c>
      <x:c r="B17" s="142"/>
      <x:c r="C17" s="142"/>
      <x:c r="D17" s="142"/>
      <x:c r="E17" s="142"/>
      <x:c r="F17" s="142"/>
      <x:c r="G17" s="142" t="n">
        <x:f>Model!D51+Model!D52</x:f>
        <x:v>7633</x:v>
      </x:c>
      <x:c r="H17" s="92" t="str">
        <x:v>2025A cash &amp; ST investments</x:v>
      </x:c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 t="str">
        <x:v>Less: Debt</x:v>
      </x:c>
      <x:c r="B18" s="142"/>
      <x:c r="C18" s="142"/>
      <x:c r="D18" s="142"/>
      <x:c r="E18" s="142"/>
      <x:c r="F18" s="142"/>
      <x:c r="G18" s="142" t="n">
        <x:f>-Model!D74</x:f>
        <x:v>-10521</x:v>
      </x:c>
      <x:c r="H18" s="92" t="str">
        <x:v>2025A long-term debt</x:v>
      </x:c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 t="str">
        <x:v>Equity value</x:v>
      </x:c>
      <x:c r="B19" s="142"/>
      <x:c r="C19" s="142"/>
      <x:c r="D19" s="142"/>
      <x:c r="E19" s="142"/>
      <x:c r="F19" s="142"/>
      <x:c r="G19" s="142" t="n">
        <x:f>SUM(G16:G18)</x:f>
        <x:v>226876.2927452213</x:v>
      </x:c>
      <x:c r="H19" s="92" t="str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 t="str">
        <x:v>Diluted shares (mm)</x:v>
      </x:c>
      <x:c r="B20" s="142"/>
      <x:c r="C20" s="142"/>
      <x:c r="D20" s="142"/>
      <x:c r="E20" s="142"/>
      <x:c r="F20" s="142"/>
      <x:c r="G20" s="142" t="n">
        <x:f>Model!D31</x:f>
        <x:v>2119.689</x:v>
      </x:c>
      <x:c r="H20" s="92" t="str">
        <x:v>2025A diluted shares</x:v>
      </x:c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 t="str">
        <x:v>Implied value / share</x:v>
      </x:c>
      <x:c r="B21" s="142"/>
      <x:c r="C21" s="142"/>
      <x:c r="D21" s="142"/>
      <x:c r="E21" s="142"/>
      <x:c r="F21" s="142"/>
      <x:c r="G21" s="144" t="n">
        <x:f>G19/G20</x:f>
        <x:v>107.03282073229673</x:v>
      </x:c>
      <x:c r="H21" s="92" t="str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/>
      <x:c r="B22" s="142"/>
      <x:c r="C22" s="142"/>
      <x:c r="D22" s="142"/>
      <x:c r="E22" s="142"/>
      <x:c r="F22" s="142"/>
      <x:c r="G22" s="14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/>
      <x:c r="B23" s="142"/>
      <x:c r="C23" s="142"/>
      <x:c r="D23" s="142"/>
      <x:c r="E23" s="142"/>
      <x:c r="F23" s="142"/>
      <x:c r="G23" s="14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/>
      <x:c r="B24" s="142"/>
      <x:c r="C24" s="142"/>
      <x:c r="D24" s="142"/>
      <x:c r="E24" s="142"/>
      <x:c r="F24" s="142"/>
      <x:c r="G24" s="14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162" t="str">
        <x:v>Sensitivity: Implied Value / Share</x:v>
      </x:c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145" t="str">
        <x:v>WACC / Terminal g</x:v>
      </x:c>
      <x:c r="B28" s="145" t="str">
        <x:v>2.0%</x:v>
      </x:c>
      <x:c r="C28" s="145" t="str">
        <x:v>2.5%</x:v>
      </x:c>
      <x:c r="D28" s="145" t="str">
        <x:v>3.0%</x:v>
      </x:c>
      <x:c r="E28" s="145" t="str">
        <x:v>3.5%</x:v>
      </x:c>
      <x:c r="F28" s="145" t="str">
        <x:v>4.0%</x:v>
      </x:c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145" t="str">
        <x:v>7.5%</x:v>
      </x:c>
      <x:c r="B29" s="144" t="n">
        <x:f>(SUM(B13:F13)+((F10*(1+0.02))/(0.075-0.02))*F12+G17+G18)/G20</x:f>
        <x:v>106.18624135894824</x:v>
      </x:c>
      <x:c r="C29" s="144" t="n">
        <x:f>(SUM(B13:F13)+((F10*(1+0.025))/(0.075-0.025))*F12+G17+G18)/G20</x:f>
        <x:v>115.28696962244463</x:v>
      </x:c>
      <x:c r="D29" s="144" t="n">
        <x:f>(SUM(B13:F13)+((F10*(1+0.03))/(0.075-0.03))*F12+G17+G18)/G20</x:f>
        <x:v>126.41008194449579</x:v>
      </x:c>
      <x:c r="E29" s="144" t="n">
        <x:f>(SUM(B13:F13)+((F10*(1+0.035))/(0.075-0.035))*F12+G17+G18)/G20</x:f>
        <x:v>140.31397234705972</x:v>
      </x:c>
      <x:c r="F29" s="144" t="n">
        <x:f>(SUM(B13:F13)+((F10*(1+0.04))/(0.075-0.04))*F12+G17+G18)/G20</x:f>
        <x:v>158.19040286464192</x:v>
      </x:c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145" t="str">
        <x:v>8.0%</x:v>
      </x:c>
      <x:c r="B30" s="144" t="n">
        <x:f>(SUM(B13:F13)+((F10*(1+0.02))/(0.08-0.02))*F12+G17+G18)/G20</x:f>
        <x:v>98.99031668548598</x:v>
      </x:c>
      <x:c r="C30" s="144" t="n">
        <x:f>(SUM(B13:F13)+((F10*(1+0.025))/(0.08-0.025))*F12+G17+G18)/G20</x:f>
        <x:v>106.60953104562248</x:v>
      </x:c>
      <x:c r="D30" s="144" t="n">
        <x:f>(SUM(B13:F13)+((F10*(1+0.03))/(0.08-0.03))*F12+G17+G18)/G20</x:f>
        <x:v>115.75258827778629</x:v>
      </x:c>
      <x:c r="E30" s="144" t="n">
        <x:f>(SUM(B13:F13)+((F10*(1+0.035))/(0.08-0.035))*F12+G17+G18)/G20</x:f>
        <x:v>126.92743600598652</x:v>
      </x:c>
      <x:c r="F30" s="144" t="n">
        <x:f>(SUM(B13:F13)+((F10*(1+0.04))/(0.08-0.04))*F12+G17+G18)/G20</x:f>
        <x:v>140.89599566623681</x:v>
      </x:c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145" t="str">
        <x:v>8.5%</x:v>
      </x:c>
      <x:c r="B31" s="144" t="n">
        <x:f>(SUM(B13:F13)+((F10*(1+0.02))/(0.085-0.02))*F12+G17+G18)/G20</x:f>
        <x:v>92.90145734640252</x:v>
      </x:c>
      <x:c r="C31" s="144" t="n">
        <x:f>(SUM(B13:F13)+((F10*(1+0.025))/(0.085-0.025))*F12+G17+G18)/G20</x:f>
        <x:v>99.37833223160403</x:v>
      </x:c>
      <x:c r="D31" s="144" t="n">
        <x:f>(SUM(B13:F13)+((F10*(1+0.03))/(0.085-0.03))*F12+G17+G18)/G20</x:f>
        <x:v>107.03282073229673</x:v>
      </x:c>
      <x:c r="E31" s="144" t="n">
        <x:f>(SUM(B13:F13)+((F10*(1+0.035))/(0.085-0.035))*F12+G17+G18)/G20</x:f>
        <x:v>116.21820693312797</x:v>
      </x:c>
      <x:c r="F31" s="144" t="n">
        <x:f>(SUM(B13:F13)+((F10*(1+0.04))/(0.085-0.04))*F12+G17+G18)/G20</x:f>
        <x:v>127.44479006747726</x:v>
      </x:c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145" t="str">
        <x:v>9.0%</x:v>
      </x:c>
      <x:c r="B32" s="144" t="n">
        <x:f>(SUM(B13:F13)+((F10*(1+0.02))/(0.09-0.02))*F12+G17+G18)/G20</x:f>
        <x:v>87.68243505575957</x:v>
      </x:c>
      <x:c r="C32" s="144" t="n">
        <x:f>(SUM(B13:F13)+((F10*(1+0.025))/(0.09-0.025))*F12+G17+G18)/G20</x:f>
        <x:v>93.2596255428192</x:v>
      </x:c>
      <x:c r="D32" s="144" t="n">
        <x:f>(SUM(B13:F13)+((F10*(1+0.03))/(0.09-0.03))*F12+G17+G18)/G20</x:f>
        <x:v>99.76634777772212</x:v>
      </x:c>
      <x:c r="E32" s="144" t="n">
        <x:f>(SUM(B13:F13)+((F10*(1+0.035))/(0.09-0.035))*F12+G17+G18)/G20</x:f>
        <x:v>107.456110418971</x:v>
      </x:c>
      <x:c r="F32" s="144" t="n">
        <x:f>(SUM(B13:F13)+((F10*(1+0.04))/(0.09-0.04))*F12+G17+G18)/G20</x:f>
        <x:v>116.68382558846966</x:v>
      </x:c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145" t="str">
        <x:v>9.5%</x:v>
      </x:c>
      <x:c r="B33" s="144" t="n">
        <x:f>(SUM(B13:F13)+((F10*(1+0.02))/(0.095-0.02))*F12+G17+G18)/G20</x:f>
        <x:v>83.159282403869</x:v>
      </x:c>
      <x:c r="C33" s="144" t="n">
        <x:f>(SUM(B13:F13)+((F10*(1+0.025))/(0.095-0.025))*F12+G17+G18)/G20</x:f>
        <x:v>88.01501980957504</x:v>
      </x:c>
      <x:c r="D33" s="144" t="n">
        <x:f>(SUM(B13:F13)+((F10*(1+0.03))/(0.095-0.03))*F12+G17+G18)/G20</x:f>
        <x:v>93.61779373923588</x:v>
      </x:c>
      <x:c r="E33" s="144" t="n">
        <x:f>(SUM(B13:F13)+((F10*(1+0.035))/(0.095-0.035))*F12+G17+G18)/G20</x:f>
        <x:v>100.15436332384016</x:v>
      </x:c>
      <x:c r="F33" s="144" t="n">
        <x:f>(SUM(B13:F13)+((F10*(1+0.04))/(0.095-0.04))*F12+G17+G18)/G20</x:f>
        <x:v>107.87940010564525</x:v>
      </x:c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H1"/>
    <x:mergeCell ref="A27:F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5" max="5" width="32" hidden="0" customWidth="1"/>
    <x:col min="6" max="6" width="32" hidden="0" customWidth="1"/>
  </x:cols>
  <x:sheetData>
    <x:row r="1">
      <x:c r="A1" s="19" t="str">
        <x:v>Earnings Quality — 2025 Tax Benefit Normalization</x:v>
      </x:c>
      <x:c r="B1" s="92"/>
      <x:c r="C1" s="92"/>
      <x:c r="D1" s="92"/>
      <x:c r="E1" s="110"/>
      <x:c r="F1" s="110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9" t="str">
        <x:v>Line</x:v>
      </x:c>
      <x:c r="B3" s="19" t="str">
        <x:v>2025A Reported</x:v>
      </x:c>
      <x:c r="C3" s="19" t="str">
        <x:v>Normalized / Adjusted</x:v>
      </x:c>
      <x:c r="D3" s="19" t="str">
        <x:v>Difference</x:v>
      </x:c>
      <x:c r="E3" s="19" t="str">
        <x:v>Formula / Source</x:v>
      </x:c>
      <x:c r="F3" s="19" t="str">
        <x:v>Interpretation</x:v>
      </x:c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Income before taxes and equity method</x:v>
      </x:c>
      <x:c r="B4" s="142" t="n">
        <x:v>5800</x:v>
      </x:c>
      <x:c r="C4" s="142" t="n">
        <x:v>5800</x:v>
      </x:c>
      <x:c r="D4" s="142" t="n">
        <x:f>C4-B4</x:f>
        <x:v>0</x:v>
      </x:c>
      <x:c r="E4" s="92" t="str">
        <x:v>FY2025 10-K operations</x:v>
      </x:c>
      <x:c r="F4" s="92" t="str">
        <x:v>Starting point before tax benefit and equity method</x:v>
      </x:c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Reported tax provision / (benefit)</x:v>
      </x:c>
      <x:c r="B5" s="142" t="n">
        <x:v>-4346</x:v>
      </x:c>
      <x:c r="C5" s="142" t="n">
        <x:f>B4*21%</x:f>
        <x:v>1218</x:v>
      </x:c>
      <x:c r="D5" s="142" t="n">
        <x:f>C5-B5</x:f>
        <x:v>5564</x:v>
      </x:c>
      <x:c r="E5" s="92" t="str">
        <x:v>FY2025 10-K; normalized at 21%</x:v>
      </x:c>
      <x:c r="F5" s="92" t="str">
        <x:v>Reverses large deferred tax benefit for earnings-quality view</x:v>
      </x:c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Income after normalized taxes</x:v>
      </x:c>
      <x:c r="B6" s="142" t="n">
        <x:v>10146</x:v>
      </x:c>
      <x:c r="C6" s="142" t="n">
        <x:f>C4-C5</x:f>
        <x:v>4582</x:v>
      </x:c>
      <x:c r="D6" s="142" t="n">
        <x:f>C6-B6</x:f>
        <x:v>-5564</x:v>
      </x:c>
      <x:c r="E6" s="92" t="str">
        <x:v>Formula</x:v>
      </x:c>
      <x:c r="F6" s="92" t="str">
        <x:v>Reported pre-equity after tax includes tax benefit</x:v>
      </x:c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Equity method income / (loss)</x:v>
      </x:c>
      <x:c r="B7" s="142" t="n">
        <x:v>-53</x:v>
      </x:c>
      <x:c r="C7" s="142" t="n">
        <x:v>-53</x:v>
      </x:c>
      <x:c r="D7" s="142" t="n">
        <x:f>C7-B7</x:f>
        <x:v>0</x:v>
      </x:c>
      <x:c r="E7" s="92" t="str">
        <x:v>FY2025 10-K</x:v>
      </x:c>
      <x:c r="F7" s="92" t="str">
        <x:v>Held constant</x:v>
      </x:c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 t="str">
        <x:v>Net income incl. NCI</x:v>
      </x:c>
      <x:c r="B8" s="142" t="n">
        <x:v>10093</x:v>
      </x:c>
      <x:c r="C8" s="142" t="n">
        <x:f>C6+C7</x:f>
        <x:v>4529</x:v>
      </x:c>
      <x:c r="D8" s="142" t="n">
        <x:f>C8-B8</x:f>
        <x:v>-5564</x:v>
      </x:c>
      <x:c r="E8" s="92" t="str">
        <x:v>Formula</x:v>
      </x:c>
      <x:c r="F8" s="92" t="str">
        <x:v>Normalized earnings before NCI</x:v>
      </x:c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Less: NCI income</x:v>
      </x:c>
      <x:c r="B9" s="142" t="n">
        <x:v>40</x:v>
      </x:c>
      <x:c r="C9" s="142" t="n">
        <x:v>40</x:v>
      </x:c>
      <x:c r="D9" s="142" t="n">
        <x:f>C9-B9</x:f>
        <x:v>0</x:v>
      </x:c>
      <x:c r="E9" s="92" t="str">
        <x:v>FY2025 10-K</x:v>
      </x:c>
      <x:c r="F9" s="92" t="str">
        <x:v>Held constant</x:v>
      </x:c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Net income attributable to Uber</x:v>
      </x:c>
      <x:c r="B10" s="142" t="n">
        <x:v>10053</x:v>
      </x:c>
      <x:c r="C10" s="142" t="n">
        <x:f>C8-C9</x:f>
        <x:v>4489</x:v>
      </x:c>
      <x:c r="D10" s="142" t="n">
        <x:f>C10-B10</x:f>
        <x:v>-5564</x:v>
      </x:c>
      <x:c r="E10" s="92" t="str">
        <x:v>Formula</x:v>
      </x:c>
      <x:c r="F10" s="92" t="str">
        <x:v>Normalized net income attributable to common holders</x:v>
      </x:c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 t="str">
        <x:v>Diluted shares (mm)</x:v>
      </x:c>
      <x:c r="B11" s="142" t="n">
        <x:v>2119.689</x:v>
      </x:c>
      <x:c r="C11" s="142" t="n">
        <x:v>2119.689</x:v>
      </x:c>
      <x:c r="D11" s="142" t="n">
        <x:f>C11-B11</x:f>
        <x:v>0</x:v>
      </x:c>
      <x:c r="E11" s="92" t="str">
        <x:v>FY2025 10-K</x:v>
      </x:c>
      <x:c r="F11" s="92" t="str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 t="str">
        <x:v>Diluted EPS</x:v>
      </x:c>
      <x:c r="B12" s="144" t="n">
        <x:v>4.73</x:v>
      </x:c>
      <x:c r="C12" s="144" t="n">
        <x:f>C10/C11</x:f>
        <x:v>2.117763502098657</x:v>
      </x:c>
      <x:c r="D12" s="144" t="n">
        <x:f>C12-B12</x:f>
        <x:v>-2.6122364979013435</x:v>
      </x:c>
      <x:c r="E12" s="92" t="str">
        <x:v>FY2025 10-K / formula</x:v>
      </x:c>
      <x:c r="F12" s="92" t="str">
        <x:v>Normalized EPS excludes one-time tax benefit effect</x:v>
      </x:c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5" max="5" width="14" hidden="0" customWidth="1"/>
  </x:cols>
  <x:sheetData>
    <x:row r="1">
      <x:c r="A1" s="19" t="str">
        <x:v>QA Checks — Historical Tie-Outs and Model Integrity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</x:row>
    <x:row r="2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>
      <x:c r="A3" s="161" t="str">
        <x:v>Check</x:v>
      </x:c>
      <x:c r="B3" s="161" t="str">
        <x:v>2023A</x:v>
      </x:c>
      <x:c r="C3" s="161" t="str">
        <x:v>2024A</x:v>
      </x:c>
      <x:c r="D3" s="161" t="str">
        <x:v>2025A</x:v>
      </x:c>
      <x:c r="E3" s="161" t="str">
        <x:v>Status</x:v>
      </x:c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2"/>
      <x:c r="V3" s="92"/>
      <x:c r="W3" s="92"/>
      <x:c r="X3" s="92"/>
      <x:c r="Y3" s="92"/>
      <x:c r="Z3" s="92"/>
    </x:row>
    <x:row r="4">
      <x:c r="A4" s="92" t="str">
        <x:v>Revenue ties to historical actuals</x:v>
      </x:c>
      <x:c r="B4" s="142" t="n">
        <x:f>Model!B8-'Historical Actuals'!B4</x:f>
        <x:v>0</x:v>
      </x:c>
      <x:c r="C4" s="142" t="n">
        <x:f>Model!C8-'Historical Actuals'!C4</x:f>
        <x:v>0</x:v>
      </x:c>
      <x:c r="D4" s="142" t="n">
        <x:f>Model!D8-'Historical Actuals'!D4</x:f>
        <x:v>0</x:v>
      </x:c>
      <x:c r="E4" s="178" t="str">
        <x:v>PASS</x:v>
      </x:c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>
      <x:c r="A5" s="92" t="str">
        <x:v>Income from operations ties to historical actuals</x:v>
      </x:c>
      <x:c r="B5" s="142" t="n">
        <x:f>Model!B20-'Historical Actuals'!B12</x:f>
        <x:v>0</x:v>
      </x:c>
      <x:c r="C5" s="142" t="n">
        <x:f>Model!C20-'Historical Actuals'!C12</x:f>
        <x:v>0</x:v>
      </x:c>
      <x:c r="D5" s="142" t="n">
        <x:f>Model!D20-'Historical Actuals'!D12</x:f>
        <x:v>0</x:v>
      </x:c>
      <x:c r="E5" s="178" t="str">
        <x:v>PASS</x:v>
      </x:c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</x:row>
    <x:row r="6">
      <x:c r="A6" s="92" t="str">
        <x:v>Net income attributable to Uber ties</x:v>
      </x:c>
      <x:c r="B6" s="142" t="n">
        <x:f>Model!B30-'Historical Actuals'!B21</x:f>
        <x:v>0</x:v>
      </x:c>
      <x:c r="C6" s="142" t="n">
        <x:f>Model!C30-'Historical Actuals'!C21</x:f>
        <x:v>0</x:v>
      </x:c>
      <x:c r="D6" s="142" t="n">
        <x:f>Model!D30-'Historical Actuals'!D21</x:f>
        <x:v>0</x:v>
      </x:c>
      <x:c r="E6" s="178" t="str">
        <x:v>PASS</x:v>
      </x:c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>
      <x:c r="A7" s="92" t="str">
        <x:v>Total assets ties to balance sheet</x:v>
      </x:c>
      <x:c r="B7" s="142" t="n">
        <x:f>Model!B67-'Historical Actuals'!B44</x:f>
        <x:v>0</x:v>
      </x:c>
      <x:c r="C7" s="142" t="n">
        <x:f>Model!C67-'Historical Actuals'!C44</x:f>
        <x:v>0</x:v>
      </x:c>
      <x:c r="D7" s="142" t="n">
        <x:f>Model!D67-'Historical Actuals'!D44</x:f>
        <x:v>0</x:v>
      </x:c>
      <x:c r="E7" s="178" t="str">
        <x:v>PASS</x:v>
      </x:c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>
      <x:c r="A8" s="92" t="str">
        <x:v>Total liabilities + RNCI + equity ties</x:v>
      </x:c>
      <x:c r="B8" s="142" t="n">
        <x:f>Model!B86-'Historical Actuals'!B62</x:f>
        <x:v>0</x:v>
      </x:c>
      <x:c r="C8" s="142" t="n">
        <x:f>Model!C86-'Historical Actuals'!C62</x:f>
        <x:v>0</x:v>
      </x:c>
      <x:c r="D8" s="142" t="n">
        <x:f>Model!D86-'Historical Actuals'!D62</x:f>
        <x:v>0</x:v>
      </x:c>
      <x:c r="E8" s="178" t="str">
        <x:v>PASS</x:v>
      </x:c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>
      <x:c r="A9" s="92" t="str">
        <x:v>Cash flow ending cash and restricted cash ties</x:v>
      </x:c>
      <x:c r="B9" s="142" t="n">
        <x:f>'Historical Actuals'!B100-7004</x:f>
        <x:v>0</x:v>
      </x:c>
      <x:c r="C9" s="142" t="n">
        <x:f>'Historical Actuals'!C100-8610</x:f>
        <x:v>0</x:v>
      </x:c>
      <x:c r="D9" s="142" t="n">
        <x:f>'Historical Actuals'!D100-9647</x:f>
        <x:v>0</x:v>
      </x:c>
      <x:c r="E9" s="178" t="str">
        <x:v>PASS</x:v>
      </x:c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>
      <x:c r="A10" s="92" t="str">
        <x:v>Projected BS check</x:v>
      </x:c>
      <x:c r="B10" s="142" t="str">
        <x:v>n/a</x:v>
      </x:c>
      <x:c r="C10" s="142" t="str">
        <x:v>n/a</x:v>
      </x:c>
      <x:c r="D10" s="142" t="str">
        <x:v>n/a</x:v>
      </x:c>
      <x:c r="E10" s="178" t="str">
        <x:v>PASS</x:v>
      </x:c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>
      <x:c r="A11" s="92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>
      <x:c r="A12" s="92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>
      <x:c r="A13" s="92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>
      <x:c r="A14" s="92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>
      <x:c r="A16" s="92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>
      <x:c r="A17" s="92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>
      <x:c r="A18" s="92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>
      <x:c r="A20" s="92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</x:sheetData>
  <x:mergeCells>
    <x:mergeCell ref="A1:E1"/>
  </x:mergeCells>
  <x:pageMargins left="0.7" right="0.7" top="0.75" bottom="0.75" header="0.3" footer="0.3"/>
</x:worksheet>
</file>