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" sheetId="2" state="visible" r:id="rId4"/>
    <sheet name="Historical Financials" sheetId="3" state="visible" r:id="rId5"/>
    <sheet name="Operating Drivers" sheetId="4" state="visible" r:id="rId6"/>
    <sheet name="Inputs" sheetId="5" state="visible" r:id="rId7"/>
    <sheet name="Forecast Model" sheetId="6" state="visible" r:id="rId8"/>
    <sheet name="DCF" sheetId="7" state="visible" r:id="rId9"/>
    <sheet name="QA Checks" sheetId="8" state="visible" r:id="rId10"/>
  </sheets>
  <definedNames>
    <definedName function="false" hidden="false" localSheetId="0" name="_xlnm.Print_Area" vbProcedure="false">Cover!$A$1:$B$21</definedName>
    <definedName function="false" hidden="false" localSheetId="6" name="_xlnm.Print_Area" vbProcedure="false">DCF!$A$1:$G$30</definedName>
    <definedName function="false" hidden="false" localSheetId="5" name="_xlnm.Print_Area" vbProcedure="false">'Forecast Model'!$A$1:$I$26</definedName>
    <definedName function="false" hidden="false" localSheetId="2" name="_xlnm.Print_Area" vbProcedure="false">'Historical Financials'!$A$1:$E$69</definedName>
    <definedName function="false" hidden="false" localSheetId="4" name="_xlnm.Print_Area" vbProcedure="false">Inputs!$A$1:$C$22</definedName>
    <definedName function="false" hidden="false" localSheetId="3" name="_xlnm.Print_Area" vbProcedure="false">'Operating Drivers'!$A$1:$E$35</definedName>
    <definedName function="false" hidden="false" localSheetId="7" name="_xlnm.Print_Area" vbProcedure="false">'QA Checks'!$A$1:$D$14</definedName>
    <definedName function="false" hidden="false" localSheetId="1" name="_xlnm.Print_Area" vbProcedure="false">Sources!$A$1:$D$10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<sst xmlns="http://schemas.openxmlformats.org/spreadsheetml/2006/main" count="389" uniqueCount="239">
  <si>
    <t xml:space="preserve">Airbnb, Inc. (ABNB) — Banker-Style EDGAR-Tied Model</t>
  </si>
  <si>
    <t xml:space="preserve">Historical actuals from EDGAR; forecast assumptions separated; DCF formula-driven.</t>
  </si>
  <si>
    <t xml:space="preserve">Company</t>
  </si>
  <si>
    <t xml:space="preserve">Airbnb, Inc.</t>
  </si>
  <si>
    <t xml:space="preserve">Ticker</t>
  </si>
  <si>
    <t xml:space="preserve">ABNB</t>
  </si>
  <si>
    <t xml:space="preserve">Model status</t>
  </si>
  <si>
    <t xml:space="preserve">Banker-style final draft — historical actuals tied to EDGAR / SEC filings</t>
  </si>
  <si>
    <t xml:space="preserve">Historical periods</t>
  </si>
  <si>
    <t xml:space="preserve">FY2023A, FY2024A, FY2025A</t>
  </si>
  <si>
    <t xml:space="preserve">Forecast periods</t>
  </si>
  <si>
    <t xml:space="preserve">FY2026E–FY2030E</t>
  </si>
  <si>
    <t xml:space="preserve">Units</t>
  </si>
  <si>
    <t xml:space="preserve">$ in millions, except per-share / KPI data</t>
  </si>
  <si>
    <t xml:space="preserve">Key thesis</t>
  </si>
  <si>
    <t xml:space="preserve">Asset-light marketplace model with strong FCF conversion; revenue driven by Nights &amp; Seats Booked, GBV, take-rate, and regional mix.</t>
  </si>
  <si>
    <t xml:space="preserve">Important note</t>
  </si>
  <si>
    <t xml:space="preserve">Forecasts and DCF valuation are assumptions / formulas, not factual actuals.</t>
  </si>
  <si>
    <t xml:space="preserve">Workbook Map</t>
  </si>
  <si>
    <t xml:space="preserve">Sheet</t>
  </si>
  <si>
    <t xml:space="preserve">Purpose</t>
  </si>
  <si>
    <t xml:space="preserve">Sources</t>
  </si>
  <si>
    <t xml:space="preserve">Source map with SEC URLs and line references.</t>
  </si>
  <si>
    <t xml:space="preserve">Historical Financials</t>
  </si>
  <si>
    <t xml:space="preserve">EDGAR-tied 2023A–2025A IS / BS / CF actuals.</t>
  </si>
  <si>
    <t xml:space="preserve">Operating Drivers</t>
  </si>
  <si>
    <t xml:space="preserve">Nights &amp; Seats Booked, GBV, regional revenue / mix.</t>
  </si>
  <si>
    <t xml:space="preserve">Inputs</t>
  </si>
  <si>
    <t xml:space="preserve">Forecast assumptions only.</t>
  </si>
  <si>
    <t xml:space="preserve">Forecast Model</t>
  </si>
  <si>
    <t xml:space="preserve">Formula-driven projection model.</t>
  </si>
  <si>
    <t xml:space="preserve">DCF</t>
  </si>
  <si>
    <t xml:space="preserve">Formula-driven DCF and sensitivity.</t>
  </si>
  <si>
    <t xml:space="preserve">QA Checks</t>
  </si>
  <si>
    <t xml:space="preserve">Tie-out and model integrity checks.</t>
  </si>
  <si>
    <t xml:space="preserve">Source Map</t>
  </si>
  <si>
    <t xml:space="preserve">Plain-text URLs and line references used for historical hardcodes.</t>
  </si>
  <si>
    <t xml:space="preserve">Area</t>
  </si>
  <si>
    <t xml:space="preserve">Source</t>
  </si>
  <si>
    <t xml:space="preserve">URL</t>
  </si>
  <si>
    <t xml:space="preserve">Line references / notes</t>
  </si>
  <si>
    <t xml:space="preserve">FY2025 10-K</t>
  </si>
  <si>
    <t xml:space="preserve">Airbnb FY2025 Form 10-K</t>
  </si>
  <si>
    <t xml:space="preserve">https://www.sec.gov/Archives/edgar/data/1559720/000155972026000004/abnb-20251231.htm</t>
  </si>
  <si>
    <t xml:space="preserve">Main filing used for FY2023–FY2025 income statement and cash flow statement; FY2024–FY2025 balance sheet.</t>
  </si>
  <si>
    <t xml:space="preserve">FY2024 10-K</t>
  </si>
  <si>
    <t xml:space="preserve">Airbnb FY2024 Form 10-K</t>
  </si>
  <si>
    <t xml:space="preserve">https://www.sec.gov/Archives/edgar/data/1559720/000155972025000010/abnb-20241231.htm</t>
  </si>
  <si>
    <t xml:space="preserve">Used for FY2023 balance sheet and 2023 / 2024 KPI bridge.</t>
  </si>
  <si>
    <t xml:space="preserve">Income statement</t>
  </si>
  <si>
    <t xml:space="preserve">Consolidated Statements of Operations, lines 2116–2155 in fetched source.</t>
  </si>
  <si>
    <t xml:space="preserve">Balance sheet</t>
  </si>
  <si>
    <t xml:space="preserve">FY2025 / FY2024 10-K</t>
  </si>
  <si>
    <t xml:space="preserve">https://www.sec.gov/Archives/edgar/data/1559720/000155972026000004/abnb-20251231.htm ; https://www.sec.gov/Archives/edgar/data/1559720/000155972025000010/abnb-20241231.htm</t>
  </si>
  <si>
    <t xml:space="preserve">FY2025 10-K lines 2044–2105; FY2024 10-K lines 2022–2078.</t>
  </si>
  <si>
    <t xml:space="preserve">Cash flow statement</t>
  </si>
  <si>
    <t xml:space="preserve">Consolidated Statements of Cash Flows, lines 2250–2319.</t>
  </si>
  <si>
    <t xml:space="preserve">Key metrics</t>
  </si>
  <si>
    <t xml:space="preserve">Nights and Seats / Experiences Booked, GBV, regional revenue, FCF and adjusted EBITDA reconciliations.</t>
  </si>
  <si>
    <t xml:space="preserve">$ in millions, except per-share data. Blue numbers are hardcoded EDGAR actuals.</t>
  </si>
  <si>
    <t xml:space="preserve">2023A</t>
  </si>
  <si>
    <t xml:space="preserve">2024A</t>
  </si>
  <si>
    <t xml:space="preserve">2025A</t>
  </si>
  <si>
    <t xml:space="preserve">Source / note</t>
  </si>
  <si>
    <t xml:space="preserve">Income Statement</t>
  </si>
  <si>
    <t xml:space="preserve">Revenue</t>
  </si>
  <si>
    <t xml:space="preserve">FY2025 10-K, Consolidated Statements of Operations</t>
  </si>
  <si>
    <t xml:space="preserve">Cost of revenue</t>
  </si>
  <si>
    <t xml:space="preserve">Operations and support</t>
  </si>
  <si>
    <t xml:space="preserve">Product development</t>
  </si>
  <si>
    <t xml:space="preserve">Sales and marketing</t>
  </si>
  <si>
    <t xml:space="preserve">General and administrative</t>
  </si>
  <si>
    <t xml:space="preserve">Total costs and expenses</t>
  </si>
  <si>
    <t xml:space="preserve">Formula tie-out</t>
  </si>
  <si>
    <t xml:space="preserve">Income from operations</t>
  </si>
  <si>
    <t xml:space="preserve">Interest income</t>
  </si>
  <si>
    <t xml:space="preserve">Other expense, net</t>
  </si>
  <si>
    <t xml:space="preserve">Income before income taxes</t>
  </si>
  <si>
    <t xml:space="preserve">Provision for (benefit from) income taxes</t>
  </si>
  <si>
    <t xml:space="preserve">Net income</t>
  </si>
  <si>
    <t xml:space="preserve">Diluted shares</t>
  </si>
  <si>
    <t xml:space="preserve">Diluted EPS</t>
  </si>
  <si>
    <t xml:space="preserve">Balance Sheet</t>
  </si>
  <si>
    <t xml:space="preserve">Cash and cash equivalents</t>
  </si>
  <si>
    <t xml:space="preserve">FY2024 / FY2025 10-K</t>
  </si>
  <si>
    <t xml:space="preserve">Short-term investments</t>
  </si>
  <si>
    <t xml:space="preserve">Funds receivable and amounts held on behalf of customers</t>
  </si>
  <si>
    <t xml:space="preserve">Prepaids and other current assets</t>
  </si>
  <si>
    <t xml:space="preserve">Total current assets</t>
  </si>
  <si>
    <t xml:space="preserve">Deferred income tax assets</t>
  </si>
  <si>
    <t xml:space="preserve">Goodwill and intangible assets, net</t>
  </si>
  <si>
    <t xml:space="preserve">Other assets, noncurrent</t>
  </si>
  <si>
    <t xml:space="preserve">Total assets</t>
  </si>
  <si>
    <t xml:space="preserve">Accrued expenses, accounts payable, and other current liabilities</t>
  </si>
  <si>
    <t xml:space="preserve">Funds payable and amounts payable to customers</t>
  </si>
  <si>
    <t xml:space="preserve">Current portion of long-term debt</t>
  </si>
  <si>
    <t xml:space="preserve">Unearned fees</t>
  </si>
  <si>
    <t xml:space="preserve">Total current liabilities</t>
  </si>
  <si>
    <t xml:space="preserve">Long-term debt</t>
  </si>
  <si>
    <t xml:space="preserve">Other liabilities, noncurrent</t>
  </si>
  <si>
    <t xml:space="preserve">Total liabilities</t>
  </si>
  <si>
    <t xml:space="preserve">Total stockholders' equity</t>
  </si>
  <si>
    <t xml:space="preserve">Total liabilities and stockholders' equity</t>
  </si>
  <si>
    <t xml:space="preserve">Cash Flow Statement</t>
  </si>
  <si>
    <t xml:space="preserve">Stock-based compensation expense</t>
  </si>
  <si>
    <t xml:space="preserve">Deferred income taxes</t>
  </si>
  <si>
    <t xml:space="preserve">Other, net</t>
  </si>
  <si>
    <t xml:space="preserve">Prepaids and other assets</t>
  </si>
  <si>
    <t xml:space="preserve">Accrued expenses and other liabilities</t>
  </si>
  <si>
    <t xml:space="preserve">Net cash provided by operating activities</t>
  </si>
  <si>
    <t xml:space="preserve">Purchases of short-term investments</t>
  </si>
  <si>
    <t xml:space="preserve">Sales and maturities of short-term investments</t>
  </si>
  <si>
    <t xml:space="preserve">Other investing activities, net</t>
  </si>
  <si>
    <t xml:space="preserve">Net cash used in investing activities</t>
  </si>
  <si>
    <t xml:space="preserve">Share repurchases</t>
  </si>
  <si>
    <t xml:space="preserve">Taxes paid related to tax on equity awards</t>
  </si>
  <si>
    <t xml:space="preserve">Change in funds payable and amounts payable to customers</t>
  </si>
  <si>
    <t xml:space="preserve">Proceeds from exercise of equity awards and ESPP</t>
  </si>
  <si>
    <t xml:space="preserve">Net cash used in financing activities</t>
  </si>
  <si>
    <t xml:space="preserve">Effect of FX on cash, cash equivalents, and restricted cash</t>
  </si>
  <si>
    <t xml:space="preserve">Net increase in cash, cash equivalents, and restricted cash</t>
  </si>
  <si>
    <t xml:space="preserve">Beginning cash, cash equivalents, and restricted cash</t>
  </si>
  <si>
    <t xml:space="preserve">Ending cash, cash equivalents, and restricted cash</t>
  </si>
  <si>
    <t xml:space="preserve">Purchases of property and equipment / capex</t>
  </si>
  <si>
    <t xml:space="preserve">FY2024 / FY2025 10-K FCF reconciliation</t>
  </si>
  <si>
    <t xml:space="preserve">Free cash flow</t>
  </si>
  <si>
    <t xml:space="preserve">CFO + capex</t>
  </si>
  <si>
    <t xml:space="preserve">Operating Drivers &amp; KPI Detail</t>
  </si>
  <si>
    <t xml:space="preserve">$ in millions except Nights / Seats Booked in millions. Historical actuals from EDGAR.</t>
  </si>
  <si>
    <t xml:space="preserve">Metric</t>
  </si>
  <si>
    <t xml:space="preserve">Nights and Seats / Experiences Booked</t>
  </si>
  <si>
    <t xml:space="preserve">FY2024 10-K for 2023/2024; FY2025 10-K for 2024/2025</t>
  </si>
  <si>
    <t xml:space="preserve">Gross Booking Value</t>
  </si>
  <si>
    <t xml:space="preserve">GBV / Nights &amp; Seats Booked</t>
  </si>
  <si>
    <t xml:space="preserve">Formula</t>
  </si>
  <si>
    <t xml:space="preserve">Revenue / GBV</t>
  </si>
  <si>
    <t xml:space="preserve">Revenue / Night &amp; Seat</t>
  </si>
  <si>
    <t xml:space="preserve">Adjusted EBITDA</t>
  </si>
  <si>
    <t xml:space="preserve">FY2024 / FY2025 10-K Adjusted EBITDA reconciliation</t>
  </si>
  <si>
    <t xml:space="preserve">Adjusted EBITDA margin</t>
  </si>
  <si>
    <t xml:space="preserve">Free Cash Flow</t>
  </si>
  <si>
    <t xml:space="preserve">Free Cash Flow margin</t>
  </si>
  <si>
    <t xml:space="preserve">Regional Revenue</t>
  </si>
  <si>
    <t xml:space="preserve">North America</t>
  </si>
  <si>
    <t xml:space="preserve">EMEA</t>
  </si>
  <si>
    <t xml:space="preserve">Latin America</t>
  </si>
  <si>
    <t xml:space="preserve">Asia Pacific</t>
  </si>
  <si>
    <t xml:space="preserve">Total</t>
  </si>
  <si>
    <t xml:space="preserve">Regional GBV</t>
  </si>
  <si>
    <t xml:space="preserve">Regional Nights &amp; Seats / Experiences Booked</t>
  </si>
  <si>
    <t xml:space="preserve">Forecast Assumptions</t>
  </si>
  <si>
    <t xml:space="preserve">Yellow/blue cells are editable forecast assumptions. These are not historical facts.</t>
  </si>
  <si>
    <t xml:space="preserve">Assumption</t>
  </si>
  <si>
    <t xml:space="preserve">Value</t>
  </si>
  <si>
    <t xml:space="preserve">Comment</t>
  </si>
  <si>
    <t xml:space="preserve">Revenue growth 2026E</t>
  </si>
  <si>
    <t xml:space="preserve">Revenue growth 2027E</t>
  </si>
  <si>
    <t xml:space="preserve">Revenue growth 2028E</t>
  </si>
  <si>
    <t xml:space="preserve">Revenue growth 2029E</t>
  </si>
  <si>
    <t xml:space="preserve">Revenue growth 2030E</t>
  </si>
  <si>
    <t xml:space="preserve">Cost of revenue % revenue</t>
  </si>
  <si>
    <t xml:space="preserve">Assumption; held near 2025A actual</t>
  </si>
  <si>
    <t xml:space="preserve">Operations &amp; support % revenue</t>
  </si>
  <si>
    <t xml:space="preserve">Product development % revenue</t>
  </si>
  <si>
    <t xml:space="preserve">Assumption; gradual scaling</t>
  </si>
  <si>
    <t xml:space="preserve">Sales &amp; marketing % revenue</t>
  </si>
  <si>
    <t xml:space="preserve">G&amp;A % revenue</t>
  </si>
  <si>
    <t xml:space="preserve">D&amp;A % revenue</t>
  </si>
  <si>
    <t xml:space="preserve">Assumption, informed by adjusted EBITDA reconciliation</t>
  </si>
  <si>
    <t xml:space="preserve">SBC % revenue</t>
  </si>
  <si>
    <t xml:space="preserve">Assumption; model treats SBC as non-cash add-back for FCF</t>
  </si>
  <si>
    <t xml:space="preserve">Tax rate</t>
  </si>
  <si>
    <t xml:space="preserve">Capex % revenue</t>
  </si>
  <si>
    <t xml:space="preserve">Assumption; Airbnb is asset-light</t>
  </si>
  <si>
    <t xml:space="preserve">NWC investment % incremental revenue</t>
  </si>
  <si>
    <t xml:space="preserve">WACC</t>
  </si>
  <si>
    <t xml:space="preserve">Terminal growth</t>
  </si>
  <si>
    <t xml:space="preserve">Diluted shares / buyback decline p.a.</t>
  </si>
  <si>
    <t xml:space="preserve">$ in millions except per-share data. Historical actuals link from Historical Financials; forecast years are formulas driven by Inputs.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</si>
  <si>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</si>
  <si>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</si>
  <si>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</si>
  <si>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</si>
  <si>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</si>
  <si>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Revenue growth</t>
  </si>
  <si>
    <t xml:space="preserve">Income from operations / EBIT</t>
  </si>
  <si>
    <t xml:space="preserve">EBIT margin</t>
  </si>
  <si>
    <t xml:space="preserve">Cash Flow / FCF</t>
  </si>
  <si>
    <t xml:space="preserve">EBIT</t>
  </si>
  <si>
    <t xml:space="preserve">Less: cash taxes on EBIT</t>
  </si>
  <si>
    <t xml:space="preserve">NOPAT</t>
  </si>
  <si>
    <t xml:space="preserve">Add: D&amp;A</t>
  </si>
  <si>
    <t xml:space="preserve">Less: capex</t>
  </si>
  <si>
    <t xml:space="preserve">Less: change in NWC</t>
  </si>
  <si>
    <t xml:space="preserve">Unlevered FCF</t>
  </si>
  <si>
    <t xml:space="preserve">DCF Valuation</t>
  </si>
  <si>
    <t xml:space="preserve">$ in millions except per-share data. Forecast output from Forecast Model; assumptions from Inputs.</t>
  </si>
  <si>
    <t xml:space="preserve">DCF Output</t>
  </si>
  <si>
    <t xml:space="preserve">Notes</t>
  </si>
  <si>
    <t xml:space="preserve">From Forecast Model</t>
  </si>
  <si>
    <t xml:space="preserve">Discount period</t>
  </si>
  <si>
    <t xml:space="preserve">Mid-year convention</t>
  </si>
  <si>
    <t xml:space="preserve">Discount factor</t>
  </si>
  <si>
    <t xml:space="preserve">PV of FCF</t>
  </si>
  <si>
    <t xml:space="preserve">Terminal year FCF</t>
  </si>
  <si>
    <t xml:space="preserve">Terminal value</t>
  </si>
  <si>
    <t xml:space="preserve">PV of terminal value</t>
  </si>
  <si>
    <t xml:space="preserve">PV of forecast FCF</t>
  </si>
  <si>
    <t xml:space="preserve">Enterprise value</t>
  </si>
  <si>
    <t xml:space="preserve">Less: debt</t>
  </si>
  <si>
    <t xml:space="preserve">Plus: cash &amp; short-term investments</t>
  </si>
  <si>
    <t xml:space="preserve">Equity value</t>
  </si>
  <si>
    <t xml:space="preserve">Implied share price</t>
  </si>
  <si>
    <t xml:space="preserve">Current price</t>
  </si>
  <si>
    <t xml:space="preserve">Sensitivity: Implied Share Price</t>
  </si>
  <si>
    <t xml:space="preserve">Key historical tie-outs and model integrity checks.</t>
  </si>
  <si>
    <t xml:space="preserve">Check</t>
  </si>
  <si>
    <t xml:space="preserve">Formula / Difference</t>
  </si>
  <si>
    <t xml:space="preserve">Status</t>
  </si>
  <si>
    <t xml:space="preserve">Revenue tie-out 2025</t>
  </si>
  <si>
    <t xml:space="preserve">Matches FY2025 10-K revenue</t>
  </si>
  <si>
    <t xml:space="preserve">Operating income tie-out 2025</t>
  </si>
  <si>
    <t xml:space="preserve">Matches FY2025 10-K operating income</t>
  </si>
  <si>
    <t xml:space="preserve">Net income tie-out 2025</t>
  </si>
  <si>
    <t xml:space="preserve">Matches FY2025 10-K net income</t>
  </si>
  <si>
    <t xml:space="preserve">Balance sheet actual check 2025</t>
  </si>
  <si>
    <t xml:space="preserve">Total assets vs. liabilities + equity</t>
  </si>
  <si>
    <t xml:space="preserve">Cash flow ending cash check 2025</t>
  </si>
  <si>
    <t xml:space="preserve">Matches FY2025 ending cash / restricted cash</t>
  </si>
  <si>
    <t xml:space="preserve">Regional revenue tie-out 2025</t>
  </si>
  <si>
    <t xml:space="preserve">Regional revenue sums to total revenue</t>
  </si>
  <si>
    <t xml:space="preserve">Regional GBV tie-out 2025</t>
  </si>
  <si>
    <t xml:space="preserve">Regional GBV sums to total GBV</t>
  </si>
  <si>
    <t xml:space="preserve">Regional nights tie-out 2025</t>
  </si>
  <si>
    <t xml:space="preserve">Regional Nights &amp; Seats sums to total</t>
  </si>
  <si>
    <t xml:space="preserve">DCF sensitivity present</t>
  </si>
  <si>
    <t xml:space="preserve">Sensitivity grid populated</t>
  </si>
  <si>
    <t xml:space="preserve">Forecast FCF positive 2030E</t>
  </si>
  <si>
    <t xml:space="preserve">Sanity check only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</si>
</sst>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[RED]\(#,##0\);\-"/>
    <numFmt numFmtId="166" formatCode="0.00;[RED]\(0.00\);\-"/>
    <numFmt numFmtId="167" formatCode="0.0%;[RED]\(0.0%\);\-"/>
    <numFmt numFmtId="168" formatCode="\$0.00;[RED]&quot;($&quot;0.00\);\-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666666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b val="true"/>
      <sz val="18"/>
      <color rgb="FF000000"/>
      <name val="Calibri"/>
      <family val="2"/>
    </font>
    <font>
      <sz val="11"/>
      <color rgb="FF008000"/>
      <name val="Calibri"/>
      <family val="0"/>
      <charset val="1"/>
    </font>
    <font>
      <b val="true"/>
      <sz val="11"/>
      <color rgb="FF008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Airbnb Revenue / GBV / Nights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69467373"/>
        <c:axId val="26918062"/>
      </c:barChart>
      <c:catAx>
        <c:axId val="69467373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26918062"/>
        <c:auto val="1"/>
        <c:lblAlgn val="ctr"/>
        <c:lblOffset val="100"/>
        <c:noMultiLvlLbl val="0"/>
      </c:catAx>
      <c:valAx>
        <c:axId val="26918062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69467373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13</xdr:col>
      <xdr:colOff>610560</xdr:colOff>
      <xdr:row>17</xdr:row>
      <xdr:rowOff>189360</xdr:rowOff>
    </xdr:to>
    <xdr:graphicFrame>
      <xdr:nvGraphicFramePr>
        <xdr:cNvPr id="0" name="Chart 1"/>
        <xdr:cNvGraphicFramePr/>
      </xdr:nvGraphicFramePr>
      <xdr:xfrm>
        <a:off x="9986040" y="609480"/>
        <a:ext cx="4890960" cy="3313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48"/>
  </cols>
  <sheetData>
    <row r="1" customFormat="false" ht="18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</row>
    <row r="3" customFormat="false" ht="15" hidden="false" customHeight="true" outlineLevel="0" collapsed="false"/>
    <row r="4" customFormat="false" ht="18" hidden="false" customHeight="true" outlineLevel="0" collapsed="false">
      <c r="A4" s="5" t="s">
        <v>2</v>
      </c>
      <c r="B4" s="6" t="s">
        <v>3</v>
      </c>
    </row>
    <row r="5" customFormat="false" ht="18" hidden="false" customHeight="true" outlineLevel="0" collapsed="false">
      <c r="A5" s="5" t="s">
        <v>4</v>
      </c>
      <c r="B5" s="6" t="s">
        <v>5</v>
      </c>
    </row>
    <row r="6" customFormat="false" ht="18" hidden="false" customHeight="true" outlineLevel="0" collapsed="false">
      <c r="A6" s="5" t="s">
        <v>6</v>
      </c>
      <c r="B6" s="6" t="s">
        <v>7</v>
      </c>
    </row>
    <row r="7" customFormat="false" ht="18" hidden="false" customHeight="true" outlineLevel="0" collapsed="false">
      <c r="A7" s="5" t="s">
        <v>8</v>
      </c>
      <c r="B7" s="6" t="s">
        <v>9</v>
      </c>
    </row>
    <row r="8" customFormat="false" ht="18" hidden="false" customHeight="true" outlineLevel="0" collapsed="false">
      <c r="A8" s="5" t="s">
        <v>10</v>
      </c>
      <c r="B8" s="6" t="s">
        <v>11</v>
      </c>
    </row>
    <row r="9" customFormat="false" ht="18" hidden="false" customHeight="true" outlineLevel="0" collapsed="false">
      <c r="A9" s="5" t="s">
        <v>12</v>
      </c>
      <c r="B9" s="6" t="s">
        <v>13</v>
      </c>
    </row>
    <row r="10" customFormat="false" ht="18" hidden="false" customHeight="true" outlineLevel="0" collapsed="false">
      <c r="A10" s="5" t="s">
        <v>14</v>
      </c>
      <c r="B10" s="6" t="s">
        <v>15</v>
      </c>
    </row>
    <row r="11" customFormat="false" ht="18" hidden="false" customHeight="true" outlineLevel="0" collapsed="false">
      <c r="A11" s="5" t="s">
        <v>16</v>
      </c>
      <c r="B11" s="6" t="s">
        <v>17</v>
      </c>
    </row>
    <row r="12" customFormat="false" ht="15" hidden="false" customHeight="true" outlineLevel="0" collapsed="false"/>
    <row r="13" customFormat="false" ht="18" hidden="false" customHeight="true" outlineLevel="0" collapsed="false">
      <c r="A13" s="7" t="s">
        <v>18</v>
      </c>
      <c r="B13" s="7"/>
      <c r="C13" s="7"/>
      <c r="D13" s="7"/>
      <c r="E13" s="7"/>
      <c r="F13" s="7"/>
      <c r="G13" s="7"/>
      <c r="H13" s="7"/>
    </row>
    <row r="14" customFormat="false" ht="18" hidden="false" customHeight="true" outlineLevel="0" collapsed="false">
      <c r="A14" s="8" t="s">
        <v>19</v>
      </c>
      <c r="B14" s="8" t="s">
        <v>20</v>
      </c>
      <c r="C14" s="8"/>
      <c r="D14" s="8"/>
      <c r="E14" s="8"/>
      <c r="F14" s="8"/>
      <c r="G14" s="8"/>
      <c r="H14" s="8"/>
    </row>
    <row r="15" customFormat="false" ht="15" hidden="false" customHeight="true" outlineLevel="0" collapsed="false">
      <c r="A15" s="9" t="s">
        <v>21</v>
      </c>
      <c r="B15" s="10" t="s">
        <v>22</v>
      </c>
    </row>
    <row r="16" customFormat="false" ht="15" hidden="false" customHeight="true" outlineLevel="0" collapsed="false">
      <c r="A16" s="9" t="s">
        <v>23</v>
      </c>
      <c r="B16" s="10" t="s">
        <v>24</v>
      </c>
    </row>
    <row r="17" customFormat="false" ht="30" hidden="false" customHeight="true" outlineLevel="0" collapsed="false">
      <c r="A17" s="9" t="s">
        <v>25</v>
      </c>
      <c r="B17" s="10" t="s">
        <v>26</v>
      </c>
    </row>
    <row r="18" customFormat="false" ht="15" hidden="false" customHeight="true" outlineLevel="0" collapsed="false">
      <c r="A18" s="9" t="s">
        <v>27</v>
      </c>
      <c r="B18" s="10" t="s">
        <v>28</v>
      </c>
    </row>
    <row r="19" customFormat="false" ht="15" hidden="false" customHeight="true" outlineLevel="0" collapsed="false">
      <c r="A19" s="9" t="s">
        <v>29</v>
      </c>
      <c r="B19" s="10" t="s">
        <v>30</v>
      </c>
    </row>
    <row r="20" customFormat="false" ht="15" hidden="false" customHeight="true" outlineLevel="0" collapsed="false">
      <c r="A20" s="9" t="s">
        <v>31</v>
      </c>
      <c r="B20" s="10" t="s">
        <v>32</v>
      </c>
    </row>
    <row r="21" customFormat="false" ht="15" hidden="false" customHeight="true" outlineLevel="0" collapsed="false">
      <c r="A21" s="9" t="s">
        <v>33</v>
      </c>
      <c r="B21" s="10" t="s">
        <v>34</v>
      </c>
    </row>
  </sheetData>
  <mergeCells count="3">
    <mergeCell ref="A1:H1"/>
    <mergeCell ref="A2:H2"/>
    <mergeCell ref="A13:H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48"/>
  </cols>
  <sheetData>
    <row r="1" customFormat="false" ht="18" hidden="false" customHeight="true" outlineLevel="0" collapsed="false">
      <c r="A1" s="11" t="s">
        <v>35</v>
      </c>
      <c r="B1" s="11"/>
      <c r="C1" s="11"/>
      <c r="D1" s="11"/>
      <c r="E1" s="11"/>
      <c r="F1" s="11"/>
      <c r="G1" s="11"/>
      <c r="H1" s="1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" hidden="false" customHeight="true" outlineLevel="0" collapsed="false">
      <c r="A2" s="4" t="s">
        <v>36</v>
      </c>
      <c r="B2" s="4"/>
      <c r="C2" s="4"/>
      <c r="D2" s="4"/>
      <c r="E2" s="4"/>
      <c r="F2" s="4"/>
      <c r="G2" s="4"/>
      <c r="H2" s="4"/>
    </row>
    <row r="3" customFormat="false" ht="15" hidden="false" customHeight="true" outlineLevel="0" collapsed="false"/>
    <row r="4" customFormat="false" ht="18" hidden="false" customHeight="true" outlineLevel="0" collapsed="false">
      <c r="A4" s="8" t="s">
        <v>37</v>
      </c>
      <c r="B4" s="8" t="s">
        <v>38</v>
      </c>
      <c r="C4" s="8" t="s">
        <v>39</v>
      </c>
      <c r="D4" s="8" t="s">
        <v>40</v>
      </c>
    </row>
    <row r="5" customFormat="false" ht="45" hidden="false" customHeight="true" outlineLevel="0" collapsed="false">
      <c r="A5" s="9" t="s">
        <v>41</v>
      </c>
      <c r="B5" s="10" t="s">
        <v>42</v>
      </c>
      <c r="C5" s="10" t="s">
        <v>43</v>
      </c>
      <c r="D5" s="10" t="s">
        <v>44</v>
      </c>
    </row>
    <row r="6" customFormat="false" ht="30" hidden="false" customHeight="true" outlineLevel="0" collapsed="false">
      <c r="A6" s="9" t="s">
        <v>45</v>
      </c>
      <c r="B6" s="10" t="s">
        <v>46</v>
      </c>
      <c r="C6" s="10" t="s">
        <v>47</v>
      </c>
      <c r="D6" s="10" t="s">
        <v>48</v>
      </c>
    </row>
    <row r="7" customFormat="false" ht="30" hidden="false" customHeight="true" outlineLevel="0" collapsed="false">
      <c r="A7" s="9" t="s">
        <v>49</v>
      </c>
      <c r="B7" s="10" t="s">
        <v>41</v>
      </c>
      <c r="C7" s="10" t="s">
        <v>43</v>
      </c>
      <c r="D7" s="10" t="s">
        <v>50</v>
      </c>
    </row>
    <row r="8" customFormat="false" ht="60" hidden="false" customHeight="true" outlineLevel="0" collapsed="false">
      <c r="A8" s="9" t="s">
        <v>51</v>
      </c>
      <c r="B8" s="10" t="s">
        <v>52</v>
      </c>
      <c r="C8" s="10" t="s">
        <v>53</v>
      </c>
      <c r="D8" s="10" t="s">
        <v>54</v>
      </c>
    </row>
    <row r="9" customFormat="false" ht="30" hidden="false" customHeight="true" outlineLevel="0" collapsed="false">
      <c r="A9" s="9" t="s">
        <v>55</v>
      </c>
      <c r="B9" s="10" t="s">
        <v>41</v>
      </c>
      <c r="C9" s="10" t="s">
        <v>43</v>
      </c>
      <c r="D9" s="10" t="s">
        <v>56</v>
      </c>
    </row>
    <row r="10" customFormat="false" ht="60" hidden="false" customHeight="true" outlineLevel="0" collapsed="false">
      <c r="A10" s="9" t="s">
        <v>57</v>
      </c>
      <c r="B10" s="10" t="s">
        <v>52</v>
      </c>
      <c r="C10" s="10" t="s">
        <v>53</v>
      </c>
      <c r="D10" s="10" t="s">
        <v>58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3"/>
    <col collapsed="false" customWidth="true" hidden="false" outlineLevel="0" max="5" min="5" style="1" width="48"/>
  </cols>
  <sheetData>
    <row r="1" customFormat="false" ht="18" hidden="false" customHeight="true" outlineLevel="0" collapsed="false">
      <c r="A1" s="11" t="s">
        <v>23</v>
      </c>
      <c r="B1" s="11"/>
      <c r="C1" s="11"/>
      <c r="D1" s="11"/>
      <c r="E1" s="11"/>
      <c r="F1" s="11"/>
      <c r="G1" s="11"/>
      <c r="H1" s="1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" hidden="false" customHeight="true" outlineLevel="0" collapsed="false">
      <c r="A2" s="4" t="s">
        <v>59</v>
      </c>
      <c r="B2" s="4"/>
      <c r="C2" s="4"/>
      <c r="D2" s="4"/>
      <c r="E2" s="4"/>
      <c r="F2" s="4"/>
      <c r="G2" s="4"/>
      <c r="H2" s="4"/>
    </row>
    <row r="3" customFormat="false" ht="15" hidden="false" customHeight="true" outlineLevel="0" collapsed="false"/>
    <row r="4" customFormat="false" ht="18" hidden="false" customHeight="true" outlineLevel="0" collapsed="false">
      <c r="A4" s="8"/>
      <c r="B4" s="8" t="s">
        <v>60</v>
      </c>
      <c r="C4" s="8" t="s">
        <v>61</v>
      </c>
      <c r="D4" s="8" t="s">
        <v>62</v>
      </c>
      <c r="E4" s="8" t="s">
        <v>63</v>
      </c>
    </row>
    <row r="5" customFormat="false" ht="15" hidden="false" customHeight="true" outlineLevel="0" collapsed="false"/>
    <row r="6" customFormat="false" ht="18" hidden="false" customHeight="true" outlineLevel="0" collapsed="false">
      <c r="A6" s="12" t="s">
        <v>64</v>
      </c>
      <c r="B6" s="12"/>
      <c r="C6" s="12"/>
      <c r="D6" s="12"/>
      <c r="E6" s="12"/>
    </row>
    <row r="7" customFormat="false" ht="30" hidden="false" customHeight="true" outlineLevel="0" collapsed="false">
      <c r="A7" s="9" t="s">
        <v>65</v>
      </c>
      <c r="B7" s="13" t="n">
        <v>9917</v>
      </c>
      <c r="C7" s="13" t="n">
        <v>11102</v>
      </c>
      <c r="D7" s="13" t="n">
        <v>12241</v>
      </c>
      <c r="E7" s="10" t="s">
        <v>66</v>
      </c>
    </row>
    <row r="8" customFormat="false" ht="15" hidden="false" customHeight="true" outlineLevel="0" collapsed="false">
      <c r="A8" s="9" t="s">
        <v>67</v>
      </c>
      <c r="B8" s="13" t="n">
        <v>1703</v>
      </c>
      <c r="C8" s="13" t="n">
        <v>1878</v>
      </c>
      <c r="D8" s="13" t="n">
        <v>2086</v>
      </c>
      <c r="E8" s="10" t="s">
        <v>41</v>
      </c>
    </row>
    <row r="9" customFormat="false" ht="15" hidden="false" customHeight="true" outlineLevel="0" collapsed="false">
      <c r="A9" s="9" t="s">
        <v>68</v>
      </c>
      <c r="B9" s="13" t="n">
        <v>1186</v>
      </c>
      <c r="C9" s="13" t="n">
        <v>1282</v>
      </c>
      <c r="D9" s="13" t="n">
        <v>1327</v>
      </c>
      <c r="E9" s="10" t="s">
        <v>41</v>
      </c>
    </row>
    <row r="10" customFormat="false" ht="15" hidden="false" customHeight="true" outlineLevel="0" collapsed="false">
      <c r="A10" s="9" t="s">
        <v>69</v>
      </c>
      <c r="B10" s="13" t="n">
        <v>1722</v>
      </c>
      <c r="C10" s="13" t="n">
        <v>2056</v>
      </c>
      <c r="D10" s="13" t="n">
        <v>2354</v>
      </c>
      <c r="E10" s="10" t="s">
        <v>41</v>
      </c>
    </row>
    <row r="11" customFormat="false" ht="15" hidden="false" customHeight="true" outlineLevel="0" collapsed="false">
      <c r="A11" s="9" t="s">
        <v>70</v>
      </c>
      <c r="B11" s="13" t="n">
        <v>1763</v>
      </c>
      <c r="C11" s="13" t="n">
        <v>2148</v>
      </c>
      <c r="D11" s="13" t="n">
        <v>2588</v>
      </c>
      <c r="E11" s="10" t="s">
        <v>41</v>
      </c>
    </row>
    <row r="12" customFormat="false" ht="15" hidden="false" customHeight="true" outlineLevel="0" collapsed="false">
      <c r="A12" s="9" t="s">
        <v>71</v>
      </c>
      <c r="B12" s="13" t="n">
        <v>2025</v>
      </c>
      <c r="C12" s="13" t="n">
        <v>1185</v>
      </c>
      <c r="D12" s="13" t="n">
        <v>1342</v>
      </c>
      <c r="E12" s="10" t="s">
        <v>41</v>
      </c>
    </row>
    <row r="13" customFormat="false" ht="15" hidden="false" customHeight="true" outlineLevel="0" collapsed="false">
      <c r="A13" s="9" t="s">
        <v>72</v>
      </c>
      <c r="B13" s="14" t="n">
        <f aca="false">SUM(B7:B12)</f>
        <v>18316</v>
      </c>
      <c r="C13" s="14" t="n">
        <f aca="false">SUM(C7:C12)</f>
        <v>19651</v>
      </c>
      <c r="D13" s="14" t="n">
        <f aca="false">SUM(D7:D12)</f>
        <v>21938</v>
      </c>
      <c r="E13" s="10" t="s">
        <v>73</v>
      </c>
    </row>
    <row r="14" customFormat="false" ht="15" hidden="false" customHeight="true" outlineLevel="0" collapsed="false">
      <c r="A14" s="9" t="s">
        <v>74</v>
      </c>
      <c r="B14" s="13" t="n">
        <v>1518</v>
      </c>
      <c r="C14" s="13" t="n">
        <v>2553</v>
      </c>
      <c r="D14" s="13" t="n">
        <v>2544</v>
      </c>
      <c r="E14" s="10" t="s">
        <v>41</v>
      </c>
    </row>
    <row r="15" customFormat="false" ht="15" hidden="false" customHeight="true" outlineLevel="0" collapsed="false">
      <c r="A15" s="9" t="s">
        <v>75</v>
      </c>
      <c r="B15" s="13" t="n">
        <v>721</v>
      </c>
      <c r="C15" s="13" t="n">
        <v>818</v>
      </c>
      <c r="D15" s="13" t="n">
        <v>705</v>
      </c>
      <c r="E15" s="10" t="s">
        <v>41</v>
      </c>
    </row>
    <row r="16" customFormat="false" ht="15" hidden="false" customHeight="true" outlineLevel="0" collapsed="false">
      <c r="A16" s="9" t="s">
        <v>76</v>
      </c>
      <c r="B16" s="13" t="n">
        <v>-137</v>
      </c>
      <c r="C16" s="13" t="n">
        <v>-40</v>
      </c>
      <c r="D16" s="13" t="n">
        <v>-112</v>
      </c>
      <c r="E16" s="10" t="s">
        <v>41</v>
      </c>
    </row>
    <row r="17" customFormat="false" ht="15" hidden="false" customHeight="true" outlineLevel="0" collapsed="false">
      <c r="A17" s="9" t="s">
        <v>77</v>
      </c>
      <c r="B17" s="13" t="n">
        <v>2102</v>
      </c>
      <c r="C17" s="13" t="n">
        <v>3331</v>
      </c>
      <c r="D17" s="13" t="n">
        <v>3137</v>
      </c>
      <c r="E17" s="10" t="s">
        <v>41</v>
      </c>
    </row>
    <row r="18" customFormat="false" ht="15" hidden="false" customHeight="true" outlineLevel="0" collapsed="false">
      <c r="A18" s="9" t="s">
        <v>78</v>
      </c>
      <c r="B18" s="13" t="n">
        <v>-2690</v>
      </c>
      <c r="C18" s="13" t="n">
        <v>683</v>
      </c>
      <c r="D18" s="13" t="n">
        <v>626</v>
      </c>
      <c r="E18" s="10" t="s">
        <v>41</v>
      </c>
    </row>
    <row r="19" customFormat="false" ht="15" hidden="false" customHeight="true" outlineLevel="0" collapsed="false">
      <c r="A19" s="9" t="s">
        <v>79</v>
      </c>
      <c r="B19" s="13" t="n">
        <v>4792</v>
      </c>
      <c r="C19" s="13" t="n">
        <v>2648</v>
      </c>
      <c r="D19" s="13" t="n">
        <v>2511</v>
      </c>
      <c r="E19" s="10" t="s">
        <v>41</v>
      </c>
    </row>
    <row r="20" customFormat="false" ht="15" hidden="false" customHeight="true" outlineLevel="0" collapsed="false">
      <c r="A20" s="9" t="s">
        <v>80</v>
      </c>
      <c r="B20" s="13" t="n">
        <v>662</v>
      </c>
      <c r="C20" s="13" t="n">
        <v>645</v>
      </c>
      <c r="D20" s="13" t="n">
        <v>623</v>
      </c>
      <c r="E20" s="10" t="s">
        <v>41</v>
      </c>
    </row>
    <row r="21" customFormat="false" ht="15" hidden="false" customHeight="true" outlineLevel="0" collapsed="false">
      <c r="A21" s="9" t="s">
        <v>81</v>
      </c>
      <c r="B21" s="15" t="n">
        <v>7.24</v>
      </c>
      <c r="C21" s="15" t="n">
        <v>4.11</v>
      </c>
      <c r="D21" s="15" t="n">
        <v>4.03</v>
      </c>
      <c r="E21" s="10" t="s">
        <v>41</v>
      </c>
    </row>
    <row r="22" customFormat="false" ht="15" hidden="false" customHeight="true" outlineLevel="0" collapsed="false"/>
    <row r="23" customFormat="false" ht="15" hidden="false" customHeight="true" outlineLevel="0" collapsed="false"/>
    <row r="24" customFormat="false" ht="18" hidden="false" customHeight="true" outlineLevel="0" collapsed="false">
      <c r="A24" s="12" t="s">
        <v>82</v>
      </c>
      <c r="B24" s="12"/>
      <c r="C24" s="12"/>
      <c r="D24" s="12"/>
      <c r="E24" s="12"/>
    </row>
    <row r="25" customFormat="false" ht="15" hidden="false" customHeight="true" outlineLevel="0" collapsed="false">
      <c r="A25" s="9" t="s">
        <v>83</v>
      </c>
      <c r="B25" s="13" t="n">
        <v>6874</v>
      </c>
      <c r="C25" s="13" t="n">
        <v>6864</v>
      </c>
      <c r="D25" s="13" t="n">
        <v>6560</v>
      </c>
      <c r="E25" s="10" t="s">
        <v>84</v>
      </c>
    </row>
    <row r="26" customFormat="false" ht="15" hidden="false" customHeight="true" outlineLevel="0" collapsed="false">
      <c r="A26" s="9" t="s">
        <v>85</v>
      </c>
      <c r="B26" s="13" t="n">
        <v>3197</v>
      </c>
      <c r="C26" s="13" t="n">
        <v>3747</v>
      </c>
      <c r="D26" s="13" t="n">
        <v>4454</v>
      </c>
      <c r="E26" s="10" t="s">
        <v>84</v>
      </c>
    </row>
    <row r="27" customFormat="false" ht="15" hidden="false" customHeight="true" outlineLevel="0" collapsed="false">
      <c r="A27" s="9" t="s">
        <v>86</v>
      </c>
      <c r="B27" s="13" t="n">
        <v>5869</v>
      </c>
      <c r="C27" s="13" t="n">
        <v>5931</v>
      </c>
      <c r="D27" s="13" t="n">
        <v>6959</v>
      </c>
      <c r="E27" s="10" t="s">
        <v>84</v>
      </c>
    </row>
    <row r="28" customFormat="false" ht="15" hidden="false" customHeight="true" outlineLevel="0" collapsed="false">
      <c r="A28" s="9" t="s">
        <v>87</v>
      </c>
      <c r="B28" s="13" t="n">
        <v>569</v>
      </c>
      <c r="C28" s="13" t="n">
        <v>638</v>
      </c>
      <c r="D28" s="13" t="n">
        <v>824</v>
      </c>
      <c r="E28" s="10" t="s">
        <v>84</v>
      </c>
    </row>
    <row r="29" customFormat="false" ht="15" hidden="false" customHeight="true" outlineLevel="0" collapsed="false">
      <c r="A29" s="9" t="s">
        <v>88</v>
      </c>
      <c r="B29" s="13" t="n">
        <v>16509</v>
      </c>
      <c r="C29" s="13" t="n">
        <v>17180</v>
      </c>
      <c r="D29" s="13" t="n">
        <v>18797</v>
      </c>
      <c r="E29" s="10" t="s">
        <v>84</v>
      </c>
    </row>
    <row r="30" customFormat="false" ht="15" hidden="false" customHeight="true" outlineLevel="0" collapsed="false">
      <c r="A30" s="9" t="s">
        <v>89</v>
      </c>
      <c r="B30" s="13" t="n">
        <v>2881</v>
      </c>
      <c r="C30" s="13" t="n">
        <v>2439</v>
      </c>
      <c r="D30" s="13" t="n">
        <v>2102</v>
      </c>
      <c r="E30" s="10" t="s">
        <v>84</v>
      </c>
    </row>
    <row r="31" customFormat="false" ht="15" hidden="false" customHeight="true" outlineLevel="0" collapsed="false">
      <c r="A31" s="9" t="s">
        <v>90</v>
      </c>
      <c r="B31" s="13" t="n">
        <v>792</v>
      </c>
      <c r="C31" s="13" t="n">
        <v>777</v>
      </c>
      <c r="D31" s="13" t="n">
        <v>770</v>
      </c>
      <c r="E31" s="10" t="s">
        <v>84</v>
      </c>
    </row>
    <row r="32" customFormat="false" ht="15" hidden="false" customHeight="true" outlineLevel="0" collapsed="false">
      <c r="A32" s="9" t="s">
        <v>91</v>
      </c>
      <c r="B32" s="13" t="n">
        <v>463</v>
      </c>
      <c r="C32" s="13" t="n">
        <v>563</v>
      </c>
      <c r="D32" s="13" t="n">
        <v>539</v>
      </c>
      <c r="E32" s="10" t="s">
        <v>84</v>
      </c>
    </row>
    <row r="33" customFormat="false" ht="15" hidden="false" customHeight="true" outlineLevel="0" collapsed="false">
      <c r="A33" s="9" t="s">
        <v>92</v>
      </c>
      <c r="B33" s="13" t="n">
        <v>20645</v>
      </c>
      <c r="C33" s="13" t="n">
        <v>20959</v>
      </c>
      <c r="D33" s="13" t="n">
        <v>22208</v>
      </c>
      <c r="E33" s="10" t="s">
        <v>84</v>
      </c>
    </row>
    <row r="34" customFormat="false" ht="15" hidden="false" customHeight="true" outlineLevel="0" collapsed="false">
      <c r="A34" s="9" t="s">
        <v>93</v>
      </c>
      <c r="B34" s="13" t="n">
        <v>2654</v>
      </c>
      <c r="C34" s="13" t="n">
        <v>2614</v>
      </c>
      <c r="D34" s="13" t="n">
        <v>2948</v>
      </c>
      <c r="E34" s="10" t="s">
        <v>84</v>
      </c>
    </row>
    <row r="35" customFormat="false" ht="15" hidden="false" customHeight="true" outlineLevel="0" collapsed="false">
      <c r="A35" s="9" t="s">
        <v>94</v>
      </c>
      <c r="B35" s="13" t="n">
        <v>5869</v>
      </c>
      <c r="C35" s="13" t="n">
        <v>5931</v>
      </c>
      <c r="D35" s="13" t="n">
        <v>6959</v>
      </c>
      <c r="E35" s="10" t="s">
        <v>84</v>
      </c>
    </row>
    <row r="36" customFormat="false" ht="15" hidden="false" customHeight="true" outlineLevel="0" collapsed="false">
      <c r="A36" s="9" t="s">
        <v>95</v>
      </c>
      <c r="B36" s="13" t="n">
        <v>0</v>
      </c>
      <c r="C36" s="13" t="n">
        <v>0</v>
      </c>
      <c r="D36" s="13" t="n">
        <v>1999</v>
      </c>
      <c r="E36" s="10" t="s">
        <v>84</v>
      </c>
    </row>
    <row r="37" customFormat="false" ht="15" hidden="false" customHeight="true" outlineLevel="0" collapsed="false">
      <c r="A37" s="9" t="s">
        <v>96</v>
      </c>
      <c r="B37" s="13" t="n">
        <v>1427</v>
      </c>
      <c r="C37" s="13" t="n">
        <v>1616</v>
      </c>
      <c r="D37" s="13" t="n">
        <v>1743</v>
      </c>
      <c r="E37" s="10" t="s">
        <v>84</v>
      </c>
    </row>
    <row r="38" customFormat="false" ht="15" hidden="false" customHeight="true" outlineLevel="0" collapsed="false">
      <c r="A38" s="9" t="s">
        <v>97</v>
      </c>
      <c r="B38" s="13" t="n">
        <v>9950</v>
      </c>
      <c r="C38" s="13" t="n">
        <v>10161</v>
      </c>
      <c r="D38" s="13" t="n">
        <v>13649</v>
      </c>
      <c r="E38" s="10" t="s">
        <v>84</v>
      </c>
    </row>
    <row r="39" customFormat="false" ht="15" hidden="false" customHeight="true" outlineLevel="0" collapsed="false">
      <c r="A39" s="9" t="s">
        <v>98</v>
      </c>
      <c r="B39" s="13" t="n">
        <v>1991</v>
      </c>
      <c r="C39" s="13" t="n">
        <v>1995</v>
      </c>
      <c r="D39" s="13" t="n">
        <v>0</v>
      </c>
      <c r="E39" s="10" t="s">
        <v>84</v>
      </c>
    </row>
    <row r="40" customFormat="false" ht="15" hidden="false" customHeight="true" outlineLevel="0" collapsed="false">
      <c r="A40" s="9" t="s">
        <v>99</v>
      </c>
      <c r="B40" s="13" t="n">
        <v>539</v>
      </c>
      <c r="C40" s="13" t="n">
        <v>391</v>
      </c>
      <c r="D40" s="13" t="n">
        <v>360</v>
      </c>
      <c r="E40" s="10" t="s">
        <v>84</v>
      </c>
    </row>
    <row r="41" customFormat="false" ht="15" hidden="false" customHeight="true" outlineLevel="0" collapsed="false">
      <c r="A41" s="9" t="s">
        <v>100</v>
      </c>
      <c r="B41" s="13" t="n">
        <v>12480</v>
      </c>
      <c r="C41" s="13" t="n">
        <v>12547</v>
      </c>
      <c r="D41" s="13" t="n">
        <v>14009</v>
      </c>
      <c r="E41" s="10" t="s">
        <v>84</v>
      </c>
    </row>
    <row r="42" customFormat="false" ht="15" hidden="false" customHeight="true" outlineLevel="0" collapsed="false">
      <c r="A42" s="9" t="s">
        <v>101</v>
      </c>
      <c r="B42" s="13" t="n">
        <v>8165</v>
      </c>
      <c r="C42" s="13" t="n">
        <v>8412</v>
      </c>
      <c r="D42" s="13" t="n">
        <v>8199</v>
      </c>
      <c r="E42" s="10" t="s">
        <v>84</v>
      </c>
    </row>
    <row r="43" customFormat="false" ht="15" hidden="false" customHeight="true" outlineLevel="0" collapsed="false">
      <c r="A43" s="9" t="s">
        <v>102</v>
      </c>
      <c r="B43" s="13" t="n">
        <v>20645</v>
      </c>
      <c r="C43" s="13" t="n">
        <v>20959</v>
      </c>
      <c r="D43" s="13" t="n">
        <v>22208</v>
      </c>
      <c r="E43" s="10" t="s">
        <v>84</v>
      </c>
    </row>
    <row r="44" customFormat="false" ht="15" hidden="false" customHeight="true" outlineLevel="0" collapsed="false"/>
    <row r="45" customFormat="false" ht="15" hidden="false" customHeight="true" outlineLevel="0" collapsed="false"/>
    <row r="46" customFormat="false" ht="18" hidden="false" customHeight="true" outlineLevel="0" collapsed="false">
      <c r="A46" s="12" t="s">
        <v>103</v>
      </c>
      <c r="B46" s="12"/>
      <c r="C46" s="12"/>
      <c r="D46" s="12"/>
      <c r="E46" s="12"/>
    </row>
    <row r="47" customFormat="false" ht="15" hidden="false" customHeight="true" outlineLevel="0" collapsed="false">
      <c r="A47" s="9" t="s">
        <v>79</v>
      </c>
      <c r="B47" s="13" t="n">
        <v>4792</v>
      </c>
      <c r="C47" s="13" t="n">
        <v>2648</v>
      </c>
      <c r="D47" s="13" t="n">
        <v>2511</v>
      </c>
      <c r="E47" s="10" t="s">
        <v>41</v>
      </c>
    </row>
    <row r="48" customFormat="false" ht="15" hidden="false" customHeight="true" outlineLevel="0" collapsed="false">
      <c r="A48" s="9" t="s">
        <v>104</v>
      </c>
      <c r="B48" s="13" t="n">
        <v>1120</v>
      </c>
      <c r="C48" s="13" t="n">
        <v>1407</v>
      </c>
      <c r="D48" s="13" t="n">
        <v>1592</v>
      </c>
      <c r="E48" s="10" t="s">
        <v>41</v>
      </c>
    </row>
    <row r="49" customFormat="false" ht="15" hidden="false" customHeight="true" outlineLevel="0" collapsed="false">
      <c r="A49" s="9" t="s">
        <v>105</v>
      </c>
      <c r="B49" s="13" t="n">
        <v>-2875</v>
      </c>
      <c r="C49" s="13" t="n">
        <v>433</v>
      </c>
      <c r="D49" s="13" t="n">
        <v>376</v>
      </c>
      <c r="E49" s="10" t="s">
        <v>41</v>
      </c>
    </row>
    <row r="50" customFormat="false" ht="15" hidden="false" customHeight="true" outlineLevel="0" collapsed="false">
      <c r="A50" s="9" t="s">
        <v>106</v>
      </c>
      <c r="B50" s="13" t="n">
        <v>127</v>
      </c>
      <c r="C50" s="13" t="n">
        <v>97</v>
      </c>
      <c r="D50" s="13" t="n">
        <v>273</v>
      </c>
      <c r="E50" s="10" t="s">
        <v>41</v>
      </c>
    </row>
    <row r="51" customFormat="false" ht="15" hidden="false" customHeight="true" outlineLevel="0" collapsed="false">
      <c r="A51" s="9" t="s">
        <v>107</v>
      </c>
      <c r="B51" s="13" t="n">
        <v>-102</v>
      </c>
      <c r="C51" s="13" t="n">
        <v>-163</v>
      </c>
      <c r="D51" s="13" t="n">
        <v>-346</v>
      </c>
      <c r="E51" s="10" t="s">
        <v>41</v>
      </c>
    </row>
    <row r="52" customFormat="false" ht="15" hidden="false" customHeight="true" outlineLevel="0" collapsed="false">
      <c r="A52" s="9" t="s">
        <v>108</v>
      </c>
      <c r="B52" s="13" t="n">
        <v>580</v>
      </c>
      <c r="C52" s="13" t="n">
        <v>-104</v>
      </c>
      <c r="D52" s="13" t="n">
        <v>118</v>
      </c>
      <c r="E52" s="10" t="s">
        <v>41</v>
      </c>
    </row>
    <row r="53" customFormat="false" ht="15" hidden="false" customHeight="true" outlineLevel="0" collapsed="false">
      <c r="A53" s="9" t="s">
        <v>96</v>
      </c>
      <c r="B53" s="13" t="n">
        <v>242</v>
      </c>
      <c r="C53" s="13" t="n">
        <v>200</v>
      </c>
      <c r="D53" s="13" t="n">
        <v>122</v>
      </c>
      <c r="E53" s="10" t="s">
        <v>41</v>
      </c>
    </row>
    <row r="54" customFormat="false" ht="15" hidden="false" customHeight="true" outlineLevel="0" collapsed="false">
      <c r="A54" s="9" t="s">
        <v>109</v>
      </c>
      <c r="B54" s="13" t="n">
        <v>3884</v>
      </c>
      <c r="C54" s="13" t="n">
        <v>4518</v>
      </c>
      <c r="D54" s="13" t="n">
        <v>4646</v>
      </c>
      <c r="E54" s="10" t="s">
        <v>41</v>
      </c>
    </row>
    <row r="55" customFormat="false" ht="15" hidden="false" customHeight="true" outlineLevel="0" collapsed="false">
      <c r="A55" s="9" t="s">
        <v>110</v>
      </c>
      <c r="B55" s="13" t="n">
        <v>-3308</v>
      </c>
      <c r="C55" s="13" t="n">
        <v>-3146</v>
      </c>
      <c r="D55" s="13" t="n">
        <v>-3438</v>
      </c>
      <c r="E55" s="10" t="s">
        <v>41</v>
      </c>
    </row>
    <row r="56" customFormat="false" ht="15" hidden="false" customHeight="true" outlineLevel="0" collapsed="false">
      <c r="A56" s="9" t="s">
        <v>111</v>
      </c>
      <c r="B56" s="13" t="n">
        <v>2380</v>
      </c>
      <c r="C56" s="13" t="n">
        <v>2605</v>
      </c>
      <c r="D56" s="13" t="n">
        <v>2736</v>
      </c>
      <c r="E56" s="10" t="s">
        <v>41</v>
      </c>
    </row>
    <row r="57" customFormat="false" ht="15" hidden="false" customHeight="true" outlineLevel="0" collapsed="false">
      <c r="A57" s="9" t="s">
        <v>112</v>
      </c>
      <c r="B57" s="13" t="n">
        <v>-114</v>
      </c>
      <c r="C57" s="13" t="n">
        <v>-75</v>
      </c>
      <c r="D57" s="13" t="n">
        <v>-46</v>
      </c>
      <c r="E57" s="10" t="s">
        <v>41</v>
      </c>
    </row>
    <row r="58" customFormat="false" ht="15" hidden="false" customHeight="true" outlineLevel="0" collapsed="false">
      <c r="A58" s="9" t="s">
        <v>113</v>
      </c>
      <c r="B58" s="13" t="n">
        <v>-1042</v>
      </c>
      <c r="C58" s="13" t="n">
        <v>-616</v>
      </c>
      <c r="D58" s="13" t="n">
        <v>-748</v>
      </c>
      <c r="E58" s="10" t="s">
        <v>41</v>
      </c>
    </row>
    <row r="59" customFormat="false" ht="15" hidden="false" customHeight="true" outlineLevel="0" collapsed="false">
      <c r="A59" s="9" t="s">
        <v>114</v>
      </c>
      <c r="B59" s="13" t="n">
        <v>-2252</v>
      </c>
      <c r="C59" s="13" t="n">
        <v>-3430</v>
      </c>
      <c r="D59" s="13" t="n">
        <v>-3789</v>
      </c>
      <c r="E59" s="10" t="s">
        <v>41</v>
      </c>
    </row>
    <row r="60" customFormat="false" ht="15" hidden="false" customHeight="true" outlineLevel="0" collapsed="false">
      <c r="A60" s="9" t="s">
        <v>115</v>
      </c>
      <c r="B60" s="13" t="n">
        <v>-1224</v>
      </c>
      <c r="C60" s="13" t="n">
        <v>-630</v>
      </c>
      <c r="D60" s="13" t="n">
        <v>-561</v>
      </c>
      <c r="E60" s="10" t="s">
        <v>41</v>
      </c>
    </row>
    <row r="61" customFormat="false" ht="15" hidden="false" customHeight="true" outlineLevel="0" collapsed="false">
      <c r="A61" s="9" t="s">
        <v>116</v>
      </c>
      <c r="B61" s="13" t="n">
        <v>936</v>
      </c>
      <c r="C61" s="13" t="n">
        <v>320</v>
      </c>
      <c r="D61" s="13" t="n">
        <v>401</v>
      </c>
      <c r="E61" s="10" t="s">
        <v>41</v>
      </c>
    </row>
    <row r="62" customFormat="false" ht="15" hidden="false" customHeight="true" outlineLevel="0" collapsed="false">
      <c r="A62" s="9" t="s">
        <v>117</v>
      </c>
      <c r="B62" s="13" t="n">
        <v>110</v>
      </c>
      <c r="C62" s="13" t="n">
        <v>168</v>
      </c>
      <c r="D62" s="13" t="n">
        <v>122</v>
      </c>
      <c r="E62" s="10" t="s">
        <v>41</v>
      </c>
    </row>
    <row r="63" customFormat="false" ht="15" hidden="false" customHeight="true" outlineLevel="0" collapsed="false">
      <c r="A63" s="9" t="s">
        <v>118</v>
      </c>
      <c r="B63" s="13" t="n">
        <v>-2430</v>
      </c>
      <c r="C63" s="13" t="n">
        <v>-3572</v>
      </c>
      <c r="D63" s="13" t="n">
        <v>-3827</v>
      </c>
      <c r="E63" s="10" t="s">
        <v>41</v>
      </c>
    </row>
    <row r="64" customFormat="false" ht="15" hidden="false" customHeight="true" outlineLevel="0" collapsed="false">
      <c r="A64" s="9" t="s">
        <v>119</v>
      </c>
      <c r="B64" s="13" t="n">
        <v>152</v>
      </c>
      <c r="C64" s="13" t="n">
        <v>-237</v>
      </c>
      <c r="D64" s="13" t="n">
        <v>655</v>
      </c>
      <c r="E64" s="10" t="s">
        <v>41</v>
      </c>
    </row>
    <row r="65" customFormat="false" ht="15" hidden="false" customHeight="true" outlineLevel="0" collapsed="false">
      <c r="A65" s="9" t="s">
        <v>120</v>
      </c>
      <c r="B65" s="13" t="n">
        <v>564</v>
      </c>
      <c r="C65" s="13" t="n">
        <v>93</v>
      </c>
      <c r="D65" s="13" t="n">
        <v>726</v>
      </c>
      <c r="E65" s="10" t="s">
        <v>41</v>
      </c>
    </row>
    <row r="66" customFormat="false" ht="15" hidden="false" customHeight="true" outlineLevel="0" collapsed="false">
      <c r="A66" s="9" t="s">
        <v>121</v>
      </c>
      <c r="B66" s="13" t="n">
        <v>12103</v>
      </c>
      <c r="C66" s="13" t="n">
        <v>12667</v>
      </c>
      <c r="D66" s="13" t="n">
        <v>12760</v>
      </c>
      <c r="E66" s="10" t="s">
        <v>41</v>
      </c>
    </row>
    <row r="67" customFormat="false" ht="15" hidden="false" customHeight="true" outlineLevel="0" collapsed="false">
      <c r="A67" s="9" t="s">
        <v>122</v>
      </c>
      <c r="B67" s="13" t="n">
        <v>12667</v>
      </c>
      <c r="C67" s="13" t="n">
        <v>12760</v>
      </c>
      <c r="D67" s="13" t="n">
        <v>13486</v>
      </c>
      <c r="E67" s="10" t="s">
        <v>41</v>
      </c>
    </row>
    <row r="68" customFormat="false" ht="15" hidden="false" customHeight="true" outlineLevel="0" collapsed="false">
      <c r="A68" s="9" t="s">
        <v>123</v>
      </c>
      <c r="B68" s="13" t="n">
        <v>-47</v>
      </c>
      <c r="C68" s="13" t="n">
        <v>-34</v>
      </c>
      <c r="D68" s="13" t="n">
        <v>-33</v>
      </c>
      <c r="E68" s="10" t="s">
        <v>124</v>
      </c>
    </row>
    <row r="69" customFormat="false" ht="15" hidden="false" customHeight="true" outlineLevel="0" collapsed="false">
      <c r="A69" s="9" t="s">
        <v>125</v>
      </c>
      <c r="B69" s="14" t="n">
        <f aca="false">B52+B66</f>
        <v>12683</v>
      </c>
      <c r="C69" s="14" t="n">
        <f aca="false">C52+C66</f>
        <v>12563</v>
      </c>
      <c r="D69" s="14" t="n">
        <f aca="false">D52+D66</f>
        <v>12878</v>
      </c>
      <c r="E69" s="10" t="s">
        <v>126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3"/>
    <col collapsed="false" customWidth="true" hidden="false" outlineLevel="0" max="5" min="5" style="1" width="48"/>
  </cols>
  <sheetData>
    <row r="1" customFormat="false" ht="18" hidden="false" customHeight="true" outlineLevel="0" collapsed="false">
      <c r="A1" s="11" t="s">
        <v>127</v>
      </c>
      <c r="B1" s="11"/>
      <c r="C1" s="11"/>
      <c r="D1" s="11"/>
      <c r="E1" s="11"/>
      <c r="F1" s="11"/>
      <c r="G1" s="11"/>
      <c r="H1" s="1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" hidden="false" customHeight="true" outlineLevel="0" collapsed="false">
      <c r="A2" s="4" t="s">
        <v>128</v>
      </c>
      <c r="B2" s="4"/>
      <c r="C2" s="4"/>
      <c r="D2" s="4"/>
      <c r="E2" s="4"/>
      <c r="F2" s="4"/>
      <c r="G2" s="4"/>
      <c r="H2" s="4"/>
    </row>
    <row r="3" customFormat="false" ht="15" hidden="false" customHeight="true" outlineLevel="0" collapsed="false"/>
    <row r="4" customFormat="false" ht="18" hidden="false" customHeight="true" outlineLevel="0" collapsed="false">
      <c r="A4" s="8" t="s">
        <v>129</v>
      </c>
      <c r="B4" s="8" t="s">
        <v>60</v>
      </c>
      <c r="C4" s="8" t="s">
        <v>61</v>
      </c>
      <c r="D4" s="8" t="s">
        <v>62</v>
      </c>
      <c r="E4" s="8" t="s">
        <v>63</v>
      </c>
    </row>
    <row r="5" customFormat="false" ht="30" hidden="false" customHeight="true" outlineLevel="0" collapsed="false">
      <c r="A5" s="9" t="s">
        <v>130</v>
      </c>
      <c r="B5" s="13" t="n">
        <v>448</v>
      </c>
      <c r="C5" s="13" t="n">
        <v>492</v>
      </c>
      <c r="D5" s="13" t="n">
        <v>533</v>
      </c>
      <c r="E5" s="10" t="s">
        <v>131</v>
      </c>
    </row>
    <row r="6" customFormat="false" ht="15" hidden="false" customHeight="true" outlineLevel="0" collapsed="false">
      <c r="A6" s="9" t="s">
        <v>132</v>
      </c>
      <c r="B6" s="13" t="n">
        <v>73252</v>
      </c>
      <c r="C6" s="13" t="n">
        <v>81784</v>
      </c>
      <c r="D6" s="13" t="n">
        <v>91273</v>
      </c>
      <c r="E6" s="10" t="s">
        <v>84</v>
      </c>
    </row>
    <row r="7" customFormat="false" ht="15" hidden="false" customHeight="true" outlineLevel="0" collapsed="false">
      <c r="A7" s="9" t="s">
        <v>65</v>
      </c>
      <c r="B7" s="13" t="n">
        <v>9917</v>
      </c>
      <c r="C7" s="13" t="n">
        <v>11102</v>
      </c>
      <c r="D7" s="13" t="n">
        <v>12241</v>
      </c>
      <c r="E7" s="10" t="s">
        <v>41</v>
      </c>
    </row>
    <row r="8" customFormat="false" ht="15" hidden="false" customHeight="true" outlineLevel="0" collapsed="false">
      <c r="A8" s="9" t="s">
        <v>133</v>
      </c>
      <c r="B8" s="14" t="n">
        <f aca="false">B6/B5</f>
        <v>163.508928571429</v>
      </c>
      <c r="C8" s="14" t="n">
        <f aca="false">C6/C5</f>
        <v>166.227642276423</v>
      </c>
      <c r="D8" s="14" t="n">
        <f aca="false">D6/D5</f>
        <v>171.243902439024</v>
      </c>
      <c r="E8" s="10" t="s">
        <v>134</v>
      </c>
    </row>
    <row r="9" customFormat="false" ht="15" hidden="false" customHeight="true" outlineLevel="0" collapsed="false">
      <c r="A9" s="9" t="s">
        <v>135</v>
      </c>
      <c r="B9" s="16" t="n">
        <f aca="false">B7/B6</f>
        <v>0.135381969092994</v>
      </c>
      <c r="C9" s="16" t="n">
        <f aca="false">C7/C6</f>
        <v>0.135747823535166</v>
      </c>
      <c r="D9" s="16" t="n">
        <f aca="false">D7/D6</f>
        <v>0.134114141093204</v>
      </c>
      <c r="E9" s="10" t="s">
        <v>134</v>
      </c>
    </row>
    <row r="10" customFormat="false" ht="15" hidden="false" customHeight="true" outlineLevel="0" collapsed="false">
      <c r="A10" s="9" t="s">
        <v>136</v>
      </c>
      <c r="B10" s="14" t="n">
        <f aca="false">B7/B5</f>
        <v>22.1361607142857</v>
      </c>
      <c r="C10" s="14" t="n">
        <f aca="false">C7/C5</f>
        <v>22.5650406504065</v>
      </c>
      <c r="D10" s="14" t="n">
        <f aca="false">D7/D5</f>
        <v>22.9662288930582</v>
      </c>
      <c r="E10" s="10" t="s">
        <v>134</v>
      </c>
    </row>
    <row r="11" customFormat="false" ht="30" hidden="false" customHeight="true" outlineLevel="0" collapsed="false">
      <c r="A11" s="9" t="s">
        <v>137</v>
      </c>
      <c r="B11" s="13" t="n">
        <v>3653</v>
      </c>
      <c r="C11" s="13" t="n">
        <v>4041</v>
      </c>
      <c r="D11" s="13" t="n">
        <v>4297</v>
      </c>
      <c r="E11" s="10" t="s">
        <v>138</v>
      </c>
    </row>
    <row r="12" customFormat="false" ht="15" hidden="false" customHeight="true" outlineLevel="0" collapsed="false">
      <c r="A12" s="9" t="s">
        <v>139</v>
      </c>
      <c r="B12" s="16" t="n">
        <f aca="false">B11/B7</f>
        <v>0.368357366138953</v>
      </c>
      <c r="C12" s="16" t="n">
        <f aca="false">C11/C7</f>
        <v>0.363988470545848</v>
      </c>
      <c r="D12" s="16" t="n">
        <f aca="false">D11/D7</f>
        <v>0.351033412302916</v>
      </c>
      <c r="E12" s="10" t="s">
        <v>134</v>
      </c>
    </row>
    <row r="13" customFormat="false" ht="15" hidden="false" customHeight="true" outlineLevel="0" collapsed="false">
      <c r="A13" s="9" t="s">
        <v>140</v>
      </c>
      <c r="B13" s="13" t="n">
        <v>3837</v>
      </c>
      <c r="C13" s="13" t="n">
        <v>4484</v>
      </c>
      <c r="D13" s="13" t="n">
        <v>4613</v>
      </c>
      <c r="E13" s="10" t="s">
        <v>124</v>
      </c>
    </row>
    <row r="14" customFormat="false" ht="15" hidden="false" customHeight="true" outlineLevel="0" collapsed="false">
      <c r="A14" s="9" t="s">
        <v>141</v>
      </c>
      <c r="B14" s="16" t="n">
        <f aca="false">B13/B7</f>
        <v>0.386911364323888</v>
      </c>
      <c r="C14" s="16" t="n">
        <f aca="false">C13/C7</f>
        <v>0.403891190776437</v>
      </c>
      <c r="D14" s="16" t="n">
        <f aca="false">D13/D7</f>
        <v>0.376848296707785</v>
      </c>
      <c r="E14" s="10" t="s">
        <v>134</v>
      </c>
    </row>
    <row r="15" customFormat="false" ht="15" hidden="false" customHeight="true" outlineLevel="0" collapsed="false">
      <c r="B15" s="17"/>
      <c r="C15" s="17"/>
      <c r="D15" s="17"/>
    </row>
    <row r="16" customFormat="false" ht="18" hidden="false" customHeight="true" outlineLevel="0" collapsed="false">
      <c r="A16" s="12" t="s">
        <v>142</v>
      </c>
      <c r="B16" s="18" t="s">
        <v>60</v>
      </c>
      <c r="C16" s="18" t="s">
        <v>61</v>
      </c>
      <c r="D16" s="18" t="s">
        <v>62</v>
      </c>
      <c r="E16" s="12" t="s">
        <v>63</v>
      </c>
    </row>
    <row r="17" customFormat="false" ht="15" hidden="false" customHeight="true" outlineLevel="0" collapsed="false">
      <c r="A17" s="9" t="s">
        <v>143</v>
      </c>
      <c r="B17" s="13" t="n">
        <v>4638</v>
      </c>
      <c r="C17" s="13" t="n">
        <v>5006</v>
      </c>
      <c r="D17" s="13" t="n">
        <v>5196</v>
      </c>
      <c r="E17" s="10" t="s">
        <v>84</v>
      </c>
    </row>
    <row r="18" customFormat="false" ht="15" hidden="false" customHeight="true" outlineLevel="0" collapsed="false">
      <c r="A18" s="9" t="s">
        <v>144</v>
      </c>
      <c r="B18" s="13" t="n">
        <v>3615</v>
      </c>
      <c r="C18" s="13" t="n">
        <v>4135</v>
      </c>
      <c r="D18" s="13" t="n">
        <v>4729</v>
      </c>
      <c r="E18" s="10" t="s">
        <v>84</v>
      </c>
    </row>
    <row r="19" customFormat="false" ht="15" hidden="false" customHeight="true" outlineLevel="0" collapsed="false">
      <c r="A19" s="9" t="s">
        <v>145</v>
      </c>
      <c r="B19" s="13" t="n">
        <v>824</v>
      </c>
      <c r="C19" s="13" t="n">
        <v>969</v>
      </c>
      <c r="D19" s="13" t="n">
        <v>1160</v>
      </c>
      <c r="E19" s="10" t="s">
        <v>84</v>
      </c>
    </row>
    <row r="20" customFormat="false" ht="15" hidden="false" customHeight="true" outlineLevel="0" collapsed="false">
      <c r="A20" s="9" t="s">
        <v>146</v>
      </c>
      <c r="B20" s="13" t="n">
        <v>840</v>
      </c>
      <c r="C20" s="13" t="n">
        <v>992</v>
      </c>
      <c r="D20" s="13" t="n">
        <v>1156</v>
      </c>
      <c r="E20" s="10" t="s">
        <v>84</v>
      </c>
    </row>
    <row r="21" customFormat="false" ht="15" hidden="false" customHeight="true" outlineLevel="0" collapsed="false">
      <c r="A21" s="9" t="s">
        <v>147</v>
      </c>
      <c r="B21" s="14" t="n">
        <f aca="false">SUM(B17:B20)</f>
        <v>9917</v>
      </c>
      <c r="C21" s="14" t="n">
        <f aca="false">SUM(C17:C20)</f>
        <v>11102</v>
      </c>
      <c r="D21" s="14" t="n">
        <f aca="false">SUM(D17:D20)</f>
        <v>12241</v>
      </c>
      <c r="E21" s="10" t="s">
        <v>73</v>
      </c>
    </row>
    <row r="22" customFormat="false" ht="15" hidden="false" customHeight="true" outlineLevel="0" collapsed="false">
      <c r="B22" s="17"/>
      <c r="C22" s="17"/>
      <c r="D22" s="17"/>
    </row>
    <row r="23" customFormat="false" ht="18" hidden="false" customHeight="true" outlineLevel="0" collapsed="false">
      <c r="A23" s="12" t="s">
        <v>148</v>
      </c>
      <c r="B23" s="18" t="s">
        <v>60</v>
      </c>
      <c r="C23" s="18" t="s">
        <v>61</v>
      </c>
      <c r="D23" s="18" t="s">
        <v>62</v>
      </c>
      <c r="E23" s="12" t="s">
        <v>63</v>
      </c>
    </row>
    <row r="24" customFormat="false" ht="15" hidden="false" customHeight="true" outlineLevel="0" collapsed="false">
      <c r="A24" s="9" t="s">
        <v>143</v>
      </c>
      <c r="B24" s="13" t="n">
        <v>34941</v>
      </c>
      <c r="C24" s="13" t="n">
        <v>37816</v>
      </c>
      <c r="D24" s="13" t="n">
        <v>40295</v>
      </c>
      <c r="E24" s="10" t="s">
        <v>84</v>
      </c>
    </row>
    <row r="25" customFormat="false" ht="15" hidden="false" customHeight="true" outlineLevel="0" collapsed="false">
      <c r="A25" s="9" t="s">
        <v>144</v>
      </c>
      <c r="B25" s="13" t="n">
        <v>26241</v>
      </c>
      <c r="C25" s="13" t="n">
        <v>29750</v>
      </c>
      <c r="D25" s="13" t="n">
        <v>34162</v>
      </c>
      <c r="E25" s="10" t="s">
        <v>84</v>
      </c>
    </row>
    <row r="26" customFormat="false" ht="15" hidden="false" customHeight="true" outlineLevel="0" collapsed="false">
      <c r="A26" s="9" t="s">
        <v>145</v>
      </c>
      <c r="B26" s="13" t="n">
        <v>6054</v>
      </c>
      <c r="C26" s="13" t="n">
        <v>7092</v>
      </c>
      <c r="D26" s="13" t="n">
        <v>8542</v>
      </c>
      <c r="E26" s="10" t="s">
        <v>84</v>
      </c>
    </row>
    <row r="27" customFormat="false" ht="15" hidden="false" customHeight="true" outlineLevel="0" collapsed="false">
      <c r="A27" s="9" t="s">
        <v>146</v>
      </c>
      <c r="B27" s="13" t="n">
        <v>6016</v>
      </c>
      <c r="C27" s="13" t="n">
        <v>7126</v>
      </c>
      <c r="D27" s="13" t="n">
        <v>8274</v>
      </c>
      <c r="E27" s="10" t="s">
        <v>84</v>
      </c>
    </row>
    <row r="28" customFormat="false" ht="15" hidden="false" customHeight="true" outlineLevel="0" collapsed="false">
      <c r="A28" s="9" t="s">
        <v>147</v>
      </c>
      <c r="B28" s="14" t="n">
        <f aca="false">SUM(B24:B27)</f>
        <v>73252</v>
      </c>
      <c r="C28" s="14" t="n">
        <f aca="false">SUM(C24:C27)</f>
        <v>81784</v>
      </c>
      <c r="D28" s="14" t="n">
        <f aca="false">SUM(D24:D27)</f>
        <v>91273</v>
      </c>
      <c r="E28" s="10" t="s">
        <v>73</v>
      </c>
    </row>
    <row r="29" customFormat="false" ht="15" hidden="false" customHeight="true" outlineLevel="0" collapsed="false">
      <c r="B29" s="17"/>
      <c r="C29" s="17"/>
      <c r="D29" s="17"/>
    </row>
    <row r="30" customFormat="false" ht="18" hidden="false" customHeight="true" outlineLevel="0" collapsed="false">
      <c r="A30" s="12" t="s">
        <v>149</v>
      </c>
      <c r="B30" s="18" t="s">
        <v>60</v>
      </c>
      <c r="C30" s="18" t="s">
        <v>61</v>
      </c>
      <c r="D30" s="18" t="s">
        <v>62</v>
      </c>
      <c r="E30" s="12" t="s">
        <v>63</v>
      </c>
    </row>
    <row r="31" customFormat="false" ht="15" hidden="false" customHeight="true" outlineLevel="0" collapsed="false">
      <c r="A31" s="9" t="s">
        <v>143</v>
      </c>
      <c r="B31" s="13" t="n">
        <v>146</v>
      </c>
      <c r="C31" s="13" t="n">
        <v>154</v>
      </c>
      <c r="D31" s="13" t="n">
        <v>158</v>
      </c>
      <c r="E31" s="10" t="s">
        <v>84</v>
      </c>
    </row>
    <row r="32" customFormat="false" ht="15" hidden="false" customHeight="true" outlineLevel="0" collapsed="false">
      <c r="A32" s="9" t="s">
        <v>144</v>
      </c>
      <c r="B32" s="13" t="n">
        <v>187</v>
      </c>
      <c r="C32" s="13" t="n">
        <v>201</v>
      </c>
      <c r="D32" s="13" t="n">
        <v>215</v>
      </c>
      <c r="E32" s="10" t="s">
        <v>84</v>
      </c>
    </row>
    <row r="33" customFormat="false" ht="15" hidden="false" customHeight="true" outlineLevel="0" collapsed="false">
      <c r="A33" s="9" t="s">
        <v>145</v>
      </c>
      <c r="B33" s="13" t="n">
        <v>64</v>
      </c>
      <c r="C33" s="13" t="n">
        <v>76</v>
      </c>
      <c r="D33" s="13" t="n">
        <v>90</v>
      </c>
      <c r="E33" s="10" t="s">
        <v>84</v>
      </c>
    </row>
    <row r="34" customFormat="false" ht="15" hidden="false" customHeight="true" outlineLevel="0" collapsed="false">
      <c r="A34" s="9" t="s">
        <v>146</v>
      </c>
      <c r="B34" s="13" t="n">
        <v>51</v>
      </c>
      <c r="C34" s="13" t="n">
        <v>61</v>
      </c>
      <c r="D34" s="13" t="n">
        <v>70</v>
      </c>
      <c r="E34" s="10" t="s">
        <v>84</v>
      </c>
    </row>
    <row r="35" customFormat="false" ht="15" hidden="false" customHeight="true" outlineLevel="0" collapsed="false">
      <c r="A35" s="9" t="s">
        <v>147</v>
      </c>
      <c r="B35" s="14" t="n">
        <f aca="false">SUM(B31:B34)</f>
        <v>448</v>
      </c>
      <c r="C35" s="14" t="n">
        <f aca="false">SUM(C31:C34)</f>
        <v>492</v>
      </c>
      <c r="D35" s="14" t="n">
        <f aca="false">SUM(D31:D34)</f>
        <v>533</v>
      </c>
      <c r="E35" s="10" t="s">
        <v>73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3"/>
    <col collapsed="false" customWidth="true" hidden="false" outlineLevel="0" max="3" min="3" style="1" width="48"/>
  </cols>
  <sheetData>
    <row r="1" customFormat="false" ht="18" hidden="false" customHeight="true" outlineLevel="0" collapsed="false">
      <c r="A1" s="2" t="s">
        <v>150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" hidden="false" customHeight="true" outlineLevel="0" collapsed="false">
      <c r="A2" s="4" t="s">
        <v>151</v>
      </c>
      <c r="B2" s="4"/>
      <c r="C2" s="4"/>
      <c r="D2" s="4"/>
      <c r="E2" s="4"/>
      <c r="F2" s="4"/>
      <c r="G2" s="4"/>
      <c r="H2" s="4"/>
    </row>
    <row r="3" customFormat="false" ht="15" hidden="false" customHeight="true" outlineLevel="0" collapsed="false"/>
    <row r="4" customFormat="false" ht="18" hidden="false" customHeight="true" outlineLevel="0" collapsed="false">
      <c r="A4" s="8" t="s">
        <v>152</v>
      </c>
      <c r="B4" s="8" t="s">
        <v>153</v>
      </c>
      <c r="C4" s="8" t="s">
        <v>154</v>
      </c>
    </row>
    <row r="5" customFormat="false" ht="15" hidden="false" customHeight="true" outlineLevel="0" collapsed="false">
      <c r="A5" s="9" t="s">
        <v>155</v>
      </c>
      <c r="B5" s="19" t="n">
        <v>0.085</v>
      </c>
      <c r="C5" s="10" t="s">
        <v>152</v>
      </c>
    </row>
    <row r="6" customFormat="false" ht="15" hidden="false" customHeight="true" outlineLevel="0" collapsed="false">
      <c r="A6" s="9" t="s">
        <v>156</v>
      </c>
      <c r="B6" s="19" t="n">
        <v>0.08</v>
      </c>
      <c r="C6" s="10" t="s">
        <v>152</v>
      </c>
    </row>
    <row r="7" customFormat="false" ht="15" hidden="false" customHeight="true" outlineLevel="0" collapsed="false">
      <c r="A7" s="9" t="s">
        <v>157</v>
      </c>
      <c r="B7" s="19" t="n">
        <v>0.075</v>
      </c>
      <c r="C7" s="10" t="s">
        <v>152</v>
      </c>
    </row>
    <row r="8" customFormat="false" ht="15" hidden="false" customHeight="true" outlineLevel="0" collapsed="false">
      <c r="A8" s="9" t="s">
        <v>158</v>
      </c>
      <c r="B8" s="19" t="n">
        <v>0.07</v>
      </c>
      <c r="C8" s="10" t="s">
        <v>152</v>
      </c>
    </row>
    <row r="9" customFormat="false" ht="15" hidden="false" customHeight="true" outlineLevel="0" collapsed="false">
      <c r="A9" s="9" t="s">
        <v>159</v>
      </c>
      <c r="B9" s="19" t="n">
        <v>0.065</v>
      </c>
      <c r="C9" s="10" t="s">
        <v>152</v>
      </c>
    </row>
    <row r="10" customFormat="false" ht="15" hidden="false" customHeight="true" outlineLevel="0" collapsed="false">
      <c r="A10" s="9" t="s">
        <v>160</v>
      </c>
      <c r="B10" s="19" t="n">
        <v>0.17</v>
      </c>
      <c r="C10" s="10" t="s">
        <v>161</v>
      </c>
    </row>
    <row r="11" customFormat="false" ht="15" hidden="false" customHeight="true" outlineLevel="0" collapsed="false">
      <c r="A11" s="9" t="s">
        <v>162</v>
      </c>
      <c r="B11" s="19" t="n">
        <v>0.105</v>
      </c>
      <c r="C11" s="10" t="s">
        <v>152</v>
      </c>
    </row>
    <row r="12" customFormat="false" ht="15" hidden="false" customHeight="true" outlineLevel="0" collapsed="false">
      <c r="A12" s="9" t="s">
        <v>163</v>
      </c>
      <c r="B12" s="19" t="n">
        <v>0.185</v>
      </c>
      <c r="C12" s="10" t="s">
        <v>164</v>
      </c>
    </row>
    <row r="13" customFormat="false" ht="15" hidden="false" customHeight="true" outlineLevel="0" collapsed="false">
      <c r="A13" s="9" t="s">
        <v>165</v>
      </c>
      <c r="B13" s="19" t="n">
        <v>0.2</v>
      </c>
      <c r="C13" s="10" t="s">
        <v>152</v>
      </c>
    </row>
    <row r="14" customFormat="false" ht="15" hidden="false" customHeight="true" outlineLevel="0" collapsed="false">
      <c r="A14" s="9" t="s">
        <v>166</v>
      </c>
      <c r="B14" s="19" t="n">
        <v>0.105</v>
      </c>
      <c r="C14" s="10" t="s">
        <v>152</v>
      </c>
    </row>
    <row r="15" customFormat="false" ht="30" hidden="false" customHeight="true" outlineLevel="0" collapsed="false">
      <c r="A15" s="9" t="s">
        <v>167</v>
      </c>
      <c r="B15" s="19" t="n">
        <v>0.0075</v>
      </c>
      <c r="C15" s="10" t="s">
        <v>168</v>
      </c>
    </row>
    <row r="16" customFormat="false" ht="30" hidden="false" customHeight="true" outlineLevel="0" collapsed="false">
      <c r="A16" s="9" t="s">
        <v>169</v>
      </c>
      <c r="B16" s="19" t="n">
        <v>0.12</v>
      </c>
      <c r="C16" s="10" t="s">
        <v>170</v>
      </c>
    </row>
    <row r="17" customFormat="false" ht="15" hidden="false" customHeight="true" outlineLevel="0" collapsed="false">
      <c r="A17" s="9" t="s">
        <v>171</v>
      </c>
      <c r="B17" s="19" t="n">
        <v>0.21</v>
      </c>
      <c r="C17" s="10" t="s">
        <v>152</v>
      </c>
    </row>
    <row r="18" customFormat="false" ht="15" hidden="false" customHeight="true" outlineLevel="0" collapsed="false">
      <c r="A18" s="9" t="s">
        <v>172</v>
      </c>
      <c r="B18" s="19" t="n">
        <v>0.003</v>
      </c>
      <c r="C18" s="10" t="s">
        <v>173</v>
      </c>
    </row>
    <row r="19" customFormat="false" ht="15" hidden="false" customHeight="true" outlineLevel="0" collapsed="false">
      <c r="A19" s="9" t="s">
        <v>174</v>
      </c>
      <c r="B19" s="19" t="n">
        <v>0.01</v>
      </c>
      <c r="C19" s="10" t="s">
        <v>152</v>
      </c>
    </row>
    <row r="20" customFormat="false" ht="15" hidden="false" customHeight="true" outlineLevel="0" collapsed="false">
      <c r="A20" s="9" t="s">
        <v>175</v>
      </c>
      <c r="B20" s="19" t="n">
        <v>0.095</v>
      </c>
      <c r="C20" s="10" t="s">
        <v>152</v>
      </c>
    </row>
    <row r="21" customFormat="false" ht="15" hidden="false" customHeight="true" outlineLevel="0" collapsed="false">
      <c r="A21" s="9" t="s">
        <v>176</v>
      </c>
      <c r="B21" s="19" t="n">
        <v>0.03</v>
      </c>
      <c r="C21" s="10" t="s">
        <v>152</v>
      </c>
    </row>
    <row r="22" customFormat="false" ht="15" hidden="false" customHeight="true" outlineLevel="0" collapsed="false">
      <c r="A22" s="9" t="s">
        <v>177</v>
      </c>
      <c r="B22" s="19" t="n">
        <v>-0.015</v>
      </c>
      <c r="C22" s="10" t="s">
        <v>152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9" min="2" style="1" width="48"/>
  </cols>
  <sheetData>
    <row r="1" customFormat="false" ht="18" hidden="false" customHeight="true" outlineLevel="0" collapsed="false">
      <c r="A1" s="11" t="s">
        <v>29</v>
      </c>
      <c r="B1" s="11"/>
      <c r="C1" s="11"/>
      <c r="D1" s="11"/>
      <c r="E1" s="11"/>
      <c r="F1" s="11"/>
      <c r="G1" s="11"/>
      <c r="H1" s="11"/>
      <c r="I1" s="20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" hidden="false" customHeight="true" outlineLevel="0" collapsed="false">
      <c r="A2" s="4" t="s">
        <v>178</v>
      </c>
      <c r="B2" s="4"/>
      <c r="C2" s="4"/>
      <c r="D2" s="4"/>
      <c r="E2" s="4"/>
      <c r="F2" s="4"/>
      <c r="G2" s="4"/>
      <c r="H2" s="4"/>
    </row>
    <row r="3" customFormat="false" ht="15" hidden="false" customHeight="true" outlineLevel="0" collapsed="false"/>
    <row r="4" customFormat="false" ht="18" hidden="false" customHeight="true" outlineLevel="0" collapsed="false">
      <c r="A4" s="8"/>
      <c r="B4" s="8" t="s">
        <v>60</v>
      </c>
      <c r="C4" s="8" t="s">
        <v>61</v>
      </c>
      <c r="D4" s="8" t="s">
        <v>62</v>
      </c>
      <c r="E4" s="8" t="s">
        <v>179</v>
      </c>
      <c r="F4" s="8" t="s">
        <v>180</v>
      </c>
      <c r="G4" s="8" t="s">
        <v>181</v>
      </c>
      <c r="H4" s="8" t="s">
        <v>182</v>
      </c>
      <c r="I4" s="8" t="s">
        <v>183</v>
      </c>
    </row>
    <row r="5" customFormat="false" ht="15" hidden="false" customHeight="true" outlineLevel="0" collapsed="false"/>
    <row r="6" customFormat="false" ht="18" hidden="false" customHeight="true" outlineLevel="0" collapsed="false">
      <c r="A6" s="12" t="s">
        <v>64</v>
      </c>
      <c r="B6" s="12"/>
      <c r="C6" s="12"/>
      <c r="D6" s="12"/>
      <c r="E6" s="12"/>
      <c r="F6" s="12"/>
      <c r="G6" s="12"/>
      <c r="H6" s="12"/>
      <c r="I6" s="12"/>
    </row>
    <row r="7" customFormat="false" ht="15" hidden="false" customHeight="true" outlineLevel="0" collapsed="false">
      <c r="A7" s="9" t="s">
        <v>65</v>
      </c>
      <c r="B7" s="21" t="n">
        <f aca="false">'Historical Financials'!B7</f>
        <v>9917</v>
      </c>
      <c r="C7" s="21" t="n">
        <f aca="false">'Historical Financials'!C7</f>
        <v>11102</v>
      </c>
      <c r="D7" s="21" t="n">
        <f aca="false">'Historical Financials'!D7</f>
        <v>12241</v>
      </c>
      <c r="E7" s="22" t="n">
        <f aca="false">D7*(1+Inputs!$B$5)</f>
        <v>13281.485</v>
      </c>
      <c r="F7" s="22" t="n">
        <f aca="false">E7*(1+Inputs!$B$6)</f>
        <v>14344.0038</v>
      </c>
      <c r="G7" s="22" t="n">
        <f aca="false">F7*(1+Inputs!$B$7)</f>
        <v>15419.804085</v>
      </c>
      <c r="H7" s="22" t="n">
        <f aca="false">G7*(1+Inputs!$B$8)</f>
        <v>16499.19037095</v>
      </c>
      <c r="I7" s="22" t="n">
        <f aca="false">H7*(1+Inputs!$B$9)</f>
        <v>17571.6377450618</v>
      </c>
    </row>
    <row r="8" customFormat="false" ht="15" hidden="false" customHeight="true" outlineLevel="0" collapsed="false">
      <c r="A8" s="9" t="s">
        <v>184</v>
      </c>
      <c r="B8" s="23"/>
      <c r="C8" s="24" t="n">
        <f aca="false">C7/B7-1</f>
        <v>0.119491781788847</v>
      </c>
      <c r="D8" s="24" t="n">
        <f aca="false">D7/C7-1</f>
        <v>0.102594127184291</v>
      </c>
      <c r="E8" s="25" t="n">
        <f aca="false">E7/D7-1</f>
        <v>0.085</v>
      </c>
      <c r="F8" s="25" t="n">
        <f aca="false">F7/E7-1</f>
        <v>0.0800000000000001</v>
      </c>
      <c r="G8" s="25" t="n">
        <f aca="false">G7/F7-1</f>
        <v>0.075</v>
      </c>
      <c r="H8" s="25" t="n">
        <f aca="false">H7/G7-1</f>
        <v>0.0700000000000001</v>
      </c>
      <c r="I8" s="25" t="n">
        <f aca="false">I7/H7-1</f>
        <v>0.065</v>
      </c>
    </row>
    <row r="9" customFormat="false" ht="15" hidden="false" customHeight="true" outlineLevel="0" collapsed="false">
      <c r="A9" s="9" t="s">
        <v>67</v>
      </c>
      <c r="B9" s="21" t="n">
        <f aca="false">'Historical Financials'!B8</f>
        <v>1703</v>
      </c>
      <c r="C9" s="21" t="n">
        <f aca="false">'Historical Financials'!C8</f>
        <v>1878</v>
      </c>
      <c r="D9" s="21" t="n">
        <f aca="false">'Historical Financials'!D8</f>
        <v>2086</v>
      </c>
      <c r="E9" s="22" t="n">
        <f aca="false">E7*Inputs!$B$10</f>
        <v>2257.85245</v>
      </c>
      <c r="F9" s="22" t="n">
        <f aca="false">F7*Inputs!$B$10</f>
        <v>2438.480646</v>
      </c>
      <c r="G9" s="22" t="n">
        <f aca="false">G7*Inputs!$B$10</f>
        <v>2621.36669445</v>
      </c>
      <c r="H9" s="22" t="n">
        <f aca="false">H7*Inputs!$B$10</f>
        <v>2804.8623630615</v>
      </c>
      <c r="I9" s="22" t="n">
        <f aca="false">I7*Inputs!$B$10</f>
        <v>2987.1784166605</v>
      </c>
    </row>
    <row r="10" customFormat="false" ht="15" hidden="false" customHeight="true" outlineLevel="0" collapsed="false">
      <c r="A10" s="9" t="s">
        <v>68</v>
      </c>
      <c r="B10" s="21" t="n">
        <f aca="false">'Historical Financials'!B9</f>
        <v>1186</v>
      </c>
      <c r="C10" s="21" t="n">
        <f aca="false">'Historical Financials'!C9</f>
        <v>1282</v>
      </c>
      <c r="D10" s="21" t="n">
        <f aca="false">'Historical Financials'!D9</f>
        <v>1327</v>
      </c>
      <c r="E10" s="22" t="n">
        <f aca="false">E7*Inputs!$B$11</f>
        <v>1394.555925</v>
      </c>
      <c r="F10" s="22" t="n">
        <f aca="false">F7*Inputs!$B$11</f>
        <v>1506.120399</v>
      </c>
      <c r="G10" s="22" t="n">
        <f aca="false">G7*Inputs!$B$11</f>
        <v>1619.079428925</v>
      </c>
      <c r="H10" s="22" t="n">
        <f aca="false">H7*Inputs!$B$11</f>
        <v>1732.41498894975</v>
      </c>
      <c r="I10" s="22" t="n">
        <f aca="false">I7*Inputs!$B$11</f>
        <v>1845.02196323148</v>
      </c>
    </row>
    <row r="11" customFormat="false" ht="15" hidden="false" customHeight="true" outlineLevel="0" collapsed="false">
      <c r="A11" s="9" t="s">
        <v>69</v>
      </c>
      <c r="B11" s="21" t="n">
        <f aca="false">'Historical Financials'!B10</f>
        <v>1722</v>
      </c>
      <c r="C11" s="21" t="n">
        <f aca="false">'Historical Financials'!C10</f>
        <v>2056</v>
      </c>
      <c r="D11" s="21" t="n">
        <f aca="false">'Historical Financials'!D10</f>
        <v>2354</v>
      </c>
      <c r="E11" s="22" t="n">
        <f aca="false">E7*Inputs!$B$12</f>
        <v>2457.074725</v>
      </c>
      <c r="F11" s="22" t="n">
        <f aca="false">F7*Inputs!$B$12</f>
        <v>2653.640703</v>
      </c>
      <c r="G11" s="22" t="n">
        <f aca="false">G7*Inputs!$B$12</f>
        <v>2852.663755725</v>
      </c>
      <c r="H11" s="22" t="n">
        <f aca="false">H7*Inputs!$B$12</f>
        <v>3052.35021862575</v>
      </c>
      <c r="I11" s="22" t="n">
        <f aca="false">I7*Inputs!$B$12</f>
        <v>3250.75298283642</v>
      </c>
    </row>
    <row r="12" customFormat="false" ht="15" hidden="false" customHeight="true" outlineLevel="0" collapsed="false">
      <c r="A12" s="9" t="s">
        <v>70</v>
      </c>
      <c r="B12" s="21" t="n">
        <f aca="false">'Historical Financials'!B11</f>
        <v>1763</v>
      </c>
      <c r="C12" s="21" t="n">
        <f aca="false">'Historical Financials'!C11</f>
        <v>2148</v>
      </c>
      <c r="D12" s="21" t="n">
        <f aca="false">'Historical Financials'!D11</f>
        <v>2588</v>
      </c>
      <c r="E12" s="22" t="n">
        <f aca="false">E7*Inputs!$B$13</f>
        <v>2656.297</v>
      </c>
      <c r="F12" s="22" t="n">
        <f aca="false">F7*Inputs!$B$13</f>
        <v>2868.80076</v>
      </c>
      <c r="G12" s="22" t="n">
        <f aca="false">G7*Inputs!$B$13</f>
        <v>3083.960817</v>
      </c>
      <c r="H12" s="22" t="n">
        <f aca="false">H7*Inputs!$B$13</f>
        <v>3299.83807419</v>
      </c>
      <c r="I12" s="22" t="n">
        <f aca="false">I7*Inputs!$B$13</f>
        <v>3514.32754901235</v>
      </c>
    </row>
    <row r="13" customFormat="false" ht="15" hidden="false" customHeight="true" outlineLevel="0" collapsed="false">
      <c r="A13" s="9" t="s">
        <v>71</v>
      </c>
      <c r="B13" s="21" t="n">
        <f aca="false">'Historical Financials'!B12</f>
        <v>2025</v>
      </c>
      <c r="C13" s="21" t="n">
        <f aca="false">'Historical Financials'!C12</f>
        <v>1185</v>
      </c>
      <c r="D13" s="21" t="n">
        <f aca="false">'Historical Financials'!D12</f>
        <v>1342</v>
      </c>
      <c r="E13" s="22" t="n">
        <f aca="false">E7*Inputs!$B$14</f>
        <v>1394.555925</v>
      </c>
      <c r="F13" s="22" t="n">
        <f aca="false">F7*Inputs!$B$14</f>
        <v>1506.120399</v>
      </c>
      <c r="G13" s="22" t="n">
        <f aca="false">G7*Inputs!$B$14</f>
        <v>1619.079428925</v>
      </c>
      <c r="H13" s="22" t="n">
        <f aca="false">H7*Inputs!$B$14</f>
        <v>1732.41498894975</v>
      </c>
      <c r="I13" s="22" t="n">
        <f aca="false">I7*Inputs!$B$14</f>
        <v>1845.02196323148</v>
      </c>
    </row>
    <row r="14" customFormat="false" ht="15" hidden="false" customHeight="true" outlineLevel="0" collapsed="false">
      <c r="A14" s="9" t="s">
        <v>72</v>
      </c>
      <c r="B14" s="21" t="n">
        <f aca="false">SUM(B9:B13)</f>
        <v>8399</v>
      </c>
      <c r="C14" s="21" t="n">
        <f aca="false">SUM(C9:C13)</f>
        <v>8549</v>
      </c>
      <c r="D14" s="21" t="n">
        <f aca="false">SUM(D9:D13)</f>
        <v>9697</v>
      </c>
      <c r="E14" s="22" t="n">
        <f aca="false">SUM(E9:E13)</f>
        <v>10160.336025</v>
      </c>
      <c r="F14" s="22" t="n">
        <f aca="false">SUM(F9:F13)</f>
        <v>10973.162907</v>
      </c>
      <c r="G14" s="22" t="n">
        <f aca="false">SUM(G9:G13)</f>
        <v>11796.150125025</v>
      </c>
      <c r="H14" s="22" t="n">
        <f aca="false">SUM(H9:H13)</f>
        <v>12621.8806337768</v>
      </c>
      <c r="I14" s="22" t="n">
        <f aca="false">SUM(I9:I13)</f>
        <v>13442.3028749722</v>
      </c>
    </row>
    <row r="15" customFormat="false" ht="15" hidden="false" customHeight="true" outlineLevel="0" collapsed="false">
      <c r="A15" s="9" t="s">
        <v>185</v>
      </c>
      <c r="B15" s="21" t="n">
        <f aca="false">'Historical Financials'!B14</f>
        <v>1518</v>
      </c>
      <c r="C15" s="21" t="n">
        <f aca="false">'Historical Financials'!C14</f>
        <v>2553</v>
      </c>
      <c r="D15" s="21" t="n">
        <f aca="false">'Historical Financials'!D14</f>
        <v>2544</v>
      </c>
      <c r="E15" s="22" t="n">
        <f aca="false">E7-E14</f>
        <v>3121.148975</v>
      </c>
      <c r="F15" s="22" t="n">
        <f aca="false">F7-F14</f>
        <v>3370.840893</v>
      </c>
      <c r="G15" s="22" t="n">
        <f aca="false">G7-G14</f>
        <v>3623.653959975</v>
      </c>
      <c r="H15" s="22" t="n">
        <f aca="false">H7-H14</f>
        <v>3877.30973717325</v>
      </c>
      <c r="I15" s="22" t="n">
        <f aca="false">I7-I14</f>
        <v>4129.33487008951</v>
      </c>
    </row>
    <row r="16" customFormat="false" ht="15" hidden="false" customHeight="true" outlineLevel="0" collapsed="false">
      <c r="A16" s="9" t="s">
        <v>186</v>
      </c>
      <c r="B16" s="24" t="n">
        <f aca="false">B15/B7</f>
        <v>0.153070485025713</v>
      </c>
      <c r="C16" s="24" t="n">
        <f aca="false">C15/C7</f>
        <v>0.22995856602414</v>
      </c>
      <c r="D16" s="24" t="n">
        <f aca="false">D15/D7</f>
        <v>0.207826157993628</v>
      </c>
      <c r="E16" s="25" t="n">
        <f aca="false">E15/E7</f>
        <v>0.235</v>
      </c>
      <c r="F16" s="25" t="n">
        <f aca="false">F15/F7</f>
        <v>0.235</v>
      </c>
      <c r="G16" s="25" t="n">
        <f aca="false">G15/G7</f>
        <v>0.235</v>
      </c>
      <c r="H16" s="25" t="n">
        <f aca="false">H15/H7</f>
        <v>0.235</v>
      </c>
      <c r="I16" s="25" t="n">
        <f aca="false">I15/I7</f>
        <v>0.235</v>
      </c>
    </row>
    <row r="17" customFormat="false" ht="15" hidden="false" customHeight="true" outlineLevel="0" collapsed="false">
      <c r="A17" s="9" t="s">
        <v>79</v>
      </c>
      <c r="B17" s="21" t="n">
        <f aca="false">'Historical Financials'!B19</f>
        <v>4792</v>
      </c>
      <c r="C17" s="21" t="n">
        <f aca="false">'Historical Financials'!C19</f>
        <v>2648</v>
      </c>
      <c r="D17" s="21" t="n">
        <f aca="false">'Historical Financials'!D19</f>
        <v>2511</v>
      </c>
      <c r="E17" s="22" t="n">
        <f aca="false">E15*(1-Inputs!$B$17)</f>
        <v>2465.70769025</v>
      </c>
      <c r="F17" s="22" t="n">
        <f aca="false">F15*(1-Inputs!$B$17)</f>
        <v>2662.96430547</v>
      </c>
      <c r="G17" s="22" t="n">
        <f aca="false">G15*(1-Inputs!$B$17)</f>
        <v>2862.68662838025</v>
      </c>
      <c r="H17" s="22" t="n">
        <f aca="false">H15*(1-Inputs!$B$17)</f>
        <v>3063.07469236687</v>
      </c>
      <c r="I17" s="22" t="n">
        <f aca="false">I15*(1-Inputs!$B$17)</f>
        <v>3262.17454737071</v>
      </c>
    </row>
    <row r="18" customFormat="false" ht="18" hidden="false" customHeight="true" outlineLevel="0" collapsed="false">
      <c r="A18" s="12" t="s">
        <v>187</v>
      </c>
      <c r="B18" s="26"/>
      <c r="C18" s="26"/>
      <c r="D18" s="26"/>
      <c r="E18" s="27"/>
      <c r="F18" s="27"/>
      <c r="G18" s="27"/>
      <c r="H18" s="27"/>
      <c r="I18" s="27"/>
    </row>
    <row r="19" customFormat="false" ht="15" hidden="false" customHeight="true" outlineLevel="0" collapsed="false">
      <c r="A19" s="9" t="s">
        <v>188</v>
      </c>
      <c r="B19" s="21" t="n">
        <f aca="false">B15</f>
        <v>1518</v>
      </c>
      <c r="C19" s="21" t="n">
        <f aca="false">C15</f>
        <v>2553</v>
      </c>
      <c r="D19" s="21" t="n">
        <f aca="false">D15</f>
        <v>2544</v>
      </c>
      <c r="E19" s="22" t="n">
        <f aca="false">E15</f>
        <v>3121.148975</v>
      </c>
      <c r="F19" s="22" t="n">
        <f aca="false">F15</f>
        <v>3370.840893</v>
      </c>
      <c r="G19" s="22" t="n">
        <f aca="false">G15</f>
        <v>3623.653959975</v>
      </c>
      <c r="H19" s="22" t="n">
        <f aca="false">H15</f>
        <v>3877.30973717325</v>
      </c>
      <c r="I19" s="22" t="n">
        <f aca="false">I15</f>
        <v>4129.33487008951</v>
      </c>
    </row>
    <row r="20" customFormat="false" ht="15" hidden="false" customHeight="true" outlineLevel="0" collapsed="false">
      <c r="A20" s="9" t="s">
        <v>189</v>
      </c>
      <c r="B20" s="23"/>
      <c r="C20" s="23"/>
      <c r="D20" s="23"/>
      <c r="E20" s="22" t="n">
        <f aca="false">-E19*Inputs!$B$17</f>
        <v>-655.44128475</v>
      </c>
      <c r="F20" s="22" t="n">
        <f aca="false">-F19*Inputs!$B$17</f>
        <v>-707.87658753</v>
      </c>
      <c r="G20" s="22" t="n">
        <f aca="false">-G19*Inputs!$B$17</f>
        <v>-760.96733159475</v>
      </c>
      <c r="H20" s="22" t="n">
        <f aca="false">-H19*Inputs!$B$17</f>
        <v>-814.235044806383</v>
      </c>
      <c r="I20" s="22" t="n">
        <f aca="false">-I19*Inputs!$B$17</f>
        <v>-867.160322718797</v>
      </c>
    </row>
    <row r="21" customFormat="false" ht="15" hidden="false" customHeight="true" outlineLevel="0" collapsed="false">
      <c r="A21" s="9" t="s">
        <v>190</v>
      </c>
      <c r="B21" s="23"/>
      <c r="C21" s="23"/>
      <c r="D21" s="23"/>
      <c r="E21" s="22" t="n">
        <f aca="false">E19+E20</f>
        <v>2465.70769025</v>
      </c>
      <c r="F21" s="22" t="n">
        <f aca="false">F19+F20</f>
        <v>2662.96430547</v>
      </c>
      <c r="G21" s="22" t="n">
        <f aca="false">G19+G20</f>
        <v>2862.68662838025</v>
      </c>
      <c r="H21" s="22" t="n">
        <f aca="false">H19+H20</f>
        <v>3063.07469236687</v>
      </c>
      <c r="I21" s="22" t="n">
        <f aca="false">I19+I20</f>
        <v>3262.17454737071</v>
      </c>
    </row>
    <row r="22" customFormat="false" ht="15" hidden="false" customHeight="true" outlineLevel="0" collapsed="false">
      <c r="A22" s="9" t="s">
        <v>191</v>
      </c>
      <c r="B22" s="23"/>
      <c r="C22" s="23"/>
      <c r="D22" s="23"/>
      <c r="E22" s="22" t="n">
        <f aca="false">E7*Inputs!$B$15</f>
        <v>99.6111375</v>
      </c>
      <c r="F22" s="22" t="n">
        <f aca="false">F7*Inputs!$B$15</f>
        <v>107.5800285</v>
      </c>
      <c r="G22" s="22" t="n">
        <f aca="false">G7*Inputs!$B$15</f>
        <v>115.6485306375</v>
      </c>
      <c r="H22" s="22" t="n">
        <f aca="false">H7*Inputs!$B$15</f>
        <v>123.743927782125</v>
      </c>
      <c r="I22" s="22" t="n">
        <f aca="false">I7*Inputs!$B$15</f>
        <v>131.787283087963</v>
      </c>
    </row>
    <row r="23" customFormat="false" ht="15" hidden="false" customHeight="true" outlineLevel="0" collapsed="false">
      <c r="A23" s="9" t="s">
        <v>192</v>
      </c>
      <c r="B23" s="21" t="n">
        <f aca="false">'Historical Financials'!B66</f>
        <v>12103</v>
      </c>
      <c r="C23" s="21" t="n">
        <f aca="false">'Historical Financials'!C66</f>
        <v>12667</v>
      </c>
      <c r="D23" s="21" t="n">
        <f aca="false">'Historical Financials'!D66</f>
        <v>12760</v>
      </c>
      <c r="E23" s="22" t="n">
        <f aca="false">-E7*Inputs!$B$18</f>
        <v>-39.844455</v>
      </c>
      <c r="F23" s="22" t="n">
        <f aca="false">-F7*Inputs!$B$18</f>
        <v>-43.0320114</v>
      </c>
      <c r="G23" s="22" t="n">
        <f aca="false">-G7*Inputs!$B$18</f>
        <v>-46.259412255</v>
      </c>
      <c r="H23" s="22" t="n">
        <f aca="false">-H7*Inputs!$B$18</f>
        <v>-49.49757111285</v>
      </c>
      <c r="I23" s="22" t="n">
        <f aca="false">-I7*Inputs!$B$18</f>
        <v>-52.7149132351853</v>
      </c>
    </row>
    <row r="24" customFormat="false" ht="15" hidden="false" customHeight="true" outlineLevel="0" collapsed="false">
      <c r="A24" s="9" t="s">
        <v>193</v>
      </c>
      <c r="B24" s="23"/>
      <c r="C24" s="23"/>
      <c r="D24" s="23"/>
      <c r="E24" s="22" t="n">
        <f aca="false">-(E7-D7)*Inputs!$B$19</f>
        <v>-10.40485</v>
      </c>
      <c r="F24" s="22" t="n">
        <f aca="false">-(F7-E7)*Inputs!$B$19</f>
        <v>-10.625188</v>
      </c>
      <c r="G24" s="22" t="n">
        <f aca="false">-(G7-F7)*Inputs!$B$19</f>
        <v>-10.75800285</v>
      </c>
      <c r="H24" s="22" t="n">
        <f aca="false">-(H7-G7)*Inputs!$B$19</f>
        <v>-10.7938628595</v>
      </c>
      <c r="I24" s="22" t="n">
        <f aca="false">-(I7-H7)*Inputs!$B$19</f>
        <v>-10.7244737411175</v>
      </c>
    </row>
    <row r="25" customFormat="false" ht="15" hidden="false" customHeight="true" outlineLevel="0" collapsed="false">
      <c r="A25" s="9" t="s">
        <v>194</v>
      </c>
      <c r="B25" s="21" t="n">
        <f aca="false">'Historical Financials'!B69</f>
        <v>12683</v>
      </c>
      <c r="C25" s="21" t="n">
        <f aca="false">'Historical Financials'!C69</f>
        <v>12563</v>
      </c>
      <c r="D25" s="21" t="n">
        <f aca="false">'Historical Financials'!D69</f>
        <v>12878</v>
      </c>
      <c r="E25" s="22" t="n">
        <f aca="false">SUM(E21:E24)</f>
        <v>2515.06952275</v>
      </c>
      <c r="F25" s="22" t="n">
        <f aca="false">SUM(F21:F24)</f>
        <v>2716.88713457</v>
      </c>
      <c r="G25" s="22" t="n">
        <f aca="false">SUM(G21:G24)</f>
        <v>2921.31774391275</v>
      </c>
      <c r="H25" s="22" t="n">
        <f aca="false">SUM(H21:H24)</f>
        <v>3126.52718617664</v>
      </c>
      <c r="I25" s="22" t="n">
        <f aca="false">SUM(I21:I24)</f>
        <v>3330.52244348237</v>
      </c>
    </row>
    <row r="26" customFormat="false" ht="15" hidden="false" customHeight="true" outlineLevel="0" collapsed="false">
      <c r="A26" s="9" t="s">
        <v>80</v>
      </c>
      <c r="B26" s="21" t="n">
        <f aca="false">'Historical Financials'!B20</f>
        <v>662</v>
      </c>
      <c r="C26" s="21" t="n">
        <f aca="false">'Historical Financials'!C20</f>
        <v>645</v>
      </c>
      <c r="D26" s="21" t="n">
        <f aca="false">'Historical Financials'!D20</f>
        <v>623</v>
      </c>
      <c r="E26" s="22" t="n">
        <f aca="false">D26*(1+Inputs!$B$22)</f>
        <v>613.655</v>
      </c>
      <c r="F26" s="22" t="n">
        <f aca="false">E26*(1+Inputs!$B$22)</f>
        <v>604.450175</v>
      </c>
      <c r="G26" s="22" t="n">
        <f aca="false">F26*(1+Inputs!$B$22)</f>
        <v>595.383422375</v>
      </c>
      <c r="H26" s="22" t="n">
        <f aca="false">G26*(1+Inputs!$B$22)</f>
        <v>586.452671039375</v>
      </c>
      <c r="I26" s="22" t="n">
        <f aca="false">H26*(1+Inputs!$B$22)</f>
        <v>577.655880973784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7" min="2" style="1" width="48"/>
  </cols>
  <sheetData>
    <row r="1" customFormat="false" ht="18" hidden="false" customHeight="true" outlineLevel="0" collapsed="false">
      <c r="A1" s="2" t="s">
        <v>195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" hidden="false" customHeight="true" outlineLevel="0" collapsed="false">
      <c r="A2" s="4" t="s">
        <v>196</v>
      </c>
      <c r="B2" s="4"/>
      <c r="C2" s="4"/>
      <c r="D2" s="4"/>
      <c r="E2" s="4"/>
      <c r="F2" s="4"/>
      <c r="G2" s="4"/>
      <c r="H2" s="4"/>
    </row>
    <row r="3" customFormat="false" ht="15" hidden="false" customHeight="true" outlineLevel="0" collapsed="false"/>
    <row r="4" customFormat="false" ht="18" hidden="false" customHeight="true" outlineLevel="0" collapsed="false">
      <c r="A4" s="8" t="s">
        <v>197</v>
      </c>
      <c r="B4" s="8" t="s">
        <v>179</v>
      </c>
      <c r="C4" s="8" t="s">
        <v>180</v>
      </c>
      <c r="D4" s="8" t="s">
        <v>181</v>
      </c>
      <c r="E4" s="8" t="s">
        <v>182</v>
      </c>
      <c r="F4" s="8" t="s">
        <v>183</v>
      </c>
      <c r="G4" s="8" t="s">
        <v>198</v>
      </c>
    </row>
    <row r="5" customFormat="false" ht="15" hidden="false" customHeight="true" outlineLevel="0" collapsed="false">
      <c r="A5" s="9" t="s">
        <v>194</v>
      </c>
      <c r="B5" s="21" t="n">
        <f aca="false">'Forecast Model'!E25</f>
        <v>2515.06952275</v>
      </c>
      <c r="C5" s="21" t="n">
        <f aca="false">'Forecast Model'!F25</f>
        <v>2716.88713457</v>
      </c>
      <c r="D5" s="21" t="n">
        <f aca="false">'Forecast Model'!G25</f>
        <v>2921.31774391275</v>
      </c>
      <c r="E5" s="21" t="n">
        <f aca="false">'Forecast Model'!H25</f>
        <v>3126.52718617664</v>
      </c>
      <c r="F5" s="21" t="n">
        <f aca="false">'Forecast Model'!I25</f>
        <v>3330.52244348237</v>
      </c>
      <c r="G5" s="9" t="s">
        <v>199</v>
      </c>
    </row>
    <row r="6" customFormat="false" ht="15" hidden="false" customHeight="true" outlineLevel="0" collapsed="false">
      <c r="A6" s="9" t="s">
        <v>200</v>
      </c>
      <c r="B6" s="28" t="n">
        <v>0.5</v>
      </c>
      <c r="C6" s="28" t="n">
        <v>1.5</v>
      </c>
      <c r="D6" s="28" t="n">
        <v>2.5</v>
      </c>
      <c r="E6" s="28" t="n">
        <v>3.5</v>
      </c>
      <c r="F6" s="28" t="n">
        <v>4.5</v>
      </c>
      <c r="G6" s="9" t="s">
        <v>201</v>
      </c>
    </row>
    <row r="7" customFormat="false" ht="15" hidden="false" customHeight="true" outlineLevel="0" collapsed="false">
      <c r="A7" s="9" t="s">
        <v>202</v>
      </c>
      <c r="B7" s="21" t="n">
        <f aca="false">1/(1+Inputs!$B$20)^B6</f>
        <v>0.955636965134993</v>
      </c>
      <c r="C7" s="21" t="n">
        <f aca="false">1/(1+Inputs!$B$20)^C6</f>
        <v>0.87272782204109</v>
      </c>
      <c r="D7" s="21" t="n">
        <f aca="false">1/(1+Inputs!$B$20)^D6</f>
        <v>0.797011709626566</v>
      </c>
      <c r="E7" s="21" t="n">
        <f aca="false">1/(1+Inputs!$B$20)^E6</f>
        <v>0.72786457500143</v>
      </c>
      <c r="F7" s="21" t="n">
        <f aca="false">1/(1+Inputs!$B$20)^F6</f>
        <v>0.664716506850621</v>
      </c>
      <c r="G7" s="9" t="s">
        <v>134</v>
      </c>
    </row>
    <row r="8" customFormat="false" ht="15" hidden="false" customHeight="true" outlineLevel="0" collapsed="false">
      <c r="A8" s="9" t="s">
        <v>203</v>
      </c>
      <c r="B8" s="21" t="n">
        <f aca="false">B5*B7</f>
        <v>2403.49340582432</v>
      </c>
      <c r="C8" s="21" t="n">
        <f aca="false">C5*C7</f>
        <v>2371.10299168473</v>
      </c>
      <c r="D8" s="21" t="n">
        <f aca="false">D5*D7</f>
        <v>2328.32444943832</v>
      </c>
      <c r="E8" s="21" t="n">
        <f aca="false">E5*E7</f>
        <v>2275.68838159688</v>
      </c>
      <c r="F8" s="21" t="n">
        <f aca="false">F5*F7</f>
        <v>2213.8532446192</v>
      </c>
      <c r="G8" s="9" t="s">
        <v>134</v>
      </c>
    </row>
    <row r="9" customFormat="false" ht="15" hidden="false" customHeight="true" outlineLevel="0" collapsed="false"/>
    <row r="10" customFormat="false" ht="18" hidden="false" customHeight="true" outlineLevel="0" collapsed="false">
      <c r="A10" s="12" t="s">
        <v>175</v>
      </c>
      <c r="B10" s="29" t="n">
        <f aca="false">Inputs!$B$20</f>
        <v>0.095</v>
      </c>
    </row>
    <row r="11" customFormat="false" ht="15" hidden="false" customHeight="true" outlineLevel="0" collapsed="false">
      <c r="A11" s="9" t="s">
        <v>176</v>
      </c>
      <c r="B11" s="25" t="n">
        <f aca="false">Inputs!$B$21</f>
        <v>0.03</v>
      </c>
    </row>
    <row r="12" customFormat="false" ht="15" hidden="false" customHeight="true" outlineLevel="0" collapsed="false">
      <c r="A12" s="9" t="s">
        <v>204</v>
      </c>
      <c r="B12" s="22" t="n">
        <f aca="false">F5</f>
        <v>3330.52244348237</v>
      </c>
    </row>
    <row r="13" customFormat="false" ht="15" hidden="false" customHeight="true" outlineLevel="0" collapsed="false">
      <c r="A13" s="9" t="s">
        <v>205</v>
      </c>
      <c r="B13" s="22" t="n">
        <f aca="false">B12*(1+B11)/(B10-B11)</f>
        <v>52775.9710274899</v>
      </c>
    </row>
    <row r="14" customFormat="false" ht="15" hidden="false" customHeight="true" outlineLevel="0" collapsed="false">
      <c r="A14" s="9" t="s">
        <v>206</v>
      </c>
      <c r="B14" s="22" t="n">
        <f aca="false">B13*F7</f>
        <v>35081.0591070427</v>
      </c>
    </row>
    <row r="15" customFormat="false" ht="15" hidden="false" customHeight="true" outlineLevel="0" collapsed="false">
      <c r="A15" s="9" t="s">
        <v>207</v>
      </c>
      <c r="B15" s="22" t="n">
        <f aca="false">SUM(B8:F8)</f>
        <v>11592.4624731635</v>
      </c>
    </row>
    <row r="16" customFormat="false" ht="15" hidden="false" customHeight="true" outlineLevel="0" collapsed="false">
      <c r="A16" s="9" t="s">
        <v>208</v>
      </c>
      <c r="B16" s="22" t="n">
        <f aca="false">B14+B15</f>
        <v>46673.5215802061</v>
      </c>
    </row>
    <row r="17" customFormat="false" ht="30" hidden="false" customHeight="true" outlineLevel="0" collapsed="false">
      <c r="A17" s="9" t="s">
        <v>209</v>
      </c>
      <c r="B17" s="22" t="n">
        <f aca="false">'Historical Financials'!D37+'Historical Financials'!D40</f>
        <v>2103</v>
      </c>
    </row>
    <row r="18" customFormat="false" ht="30" hidden="false" customHeight="true" outlineLevel="0" collapsed="false">
      <c r="A18" s="9" t="s">
        <v>210</v>
      </c>
      <c r="B18" s="22" t="n">
        <f aca="false">'Historical Financials'!D25+'Historical Financials'!D26</f>
        <v>11014</v>
      </c>
    </row>
    <row r="19" customFormat="false" ht="15" hidden="false" customHeight="true" outlineLevel="0" collapsed="false">
      <c r="A19" s="9" t="s">
        <v>211</v>
      </c>
      <c r="B19" s="22" t="n">
        <f aca="false">B16-B17+B18</f>
        <v>55584.5215802061</v>
      </c>
    </row>
    <row r="20" customFormat="false" ht="15" hidden="false" customHeight="true" outlineLevel="0" collapsed="false">
      <c r="B20" s="30"/>
    </row>
    <row r="21" customFormat="false" ht="15" hidden="false" customHeight="true" outlineLevel="0" collapsed="false">
      <c r="A21" s="9" t="s">
        <v>80</v>
      </c>
      <c r="B21" s="22" t="n">
        <f aca="false">'Forecast Model'!I26</f>
        <v>577.655880973784</v>
      </c>
    </row>
    <row r="22" customFormat="false" ht="15" hidden="false" customHeight="true" outlineLevel="0" collapsed="false">
      <c r="A22" s="9" t="s">
        <v>212</v>
      </c>
      <c r="B22" s="31" t="n">
        <f aca="false">B19/B21</f>
        <v>96.2242805985191</v>
      </c>
    </row>
    <row r="23" customFormat="false" ht="15" hidden="false" customHeight="true" outlineLevel="0" collapsed="false">
      <c r="A23" s="9" t="s">
        <v>213</v>
      </c>
      <c r="B23" s="32"/>
    </row>
    <row r="24" customFormat="false" ht="15" hidden="false" customHeight="true" outlineLevel="0" collapsed="false"/>
    <row r="25" customFormat="false" ht="18" hidden="false" customHeight="true" outlineLevel="0" collapsed="false">
      <c r="A25" s="8" t="s">
        <v>214</v>
      </c>
      <c r="B25" s="33" t="n">
        <v>0.02</v>
      </c>
      <c r="C25" s="33" t="n">
        <v>0.025</v>
      </c>
      <c r="D25" s="33" t="n">
        <v>0.03</v>
      </c>
      <c r="E25" s="33" t="n">
        <v>0.035</v>
      </c>
      <c r="F25" s="33" t="n">
        <v>0.04</v>
      </c>
    </row>
    <row r="26" customFormat="false" ht="30" hidden="false" customHeight="true" outlineLevel="0" collapsed="false">
      <c r="A26" s="34" t="n">
        <v>0.085</v>
      </c>
      <c r="B26" s="35" t="n">
        <f aca="false">($B$15 + ($B$12*(1+B$25)/($A26-B$25))*$F$7 - $B$17 + $B$18)/$B$21</f>
        <v>95.6346686546567</v>
      </c>
      <c r="C26" s="35" t="n">
        <f aca="false">($B$15 + ($B$12*(1+C$25)/($A26-C$25))*$F$7 - $B$17 + $B$18)/$B$21</f>
        <v>100.965743313746</v>
      </c>
      <c r="D26" s="35" t="n">
        <f aca="false">($B$15 + ($B$12*(1+D$25)/($A26-D$25))*$F$7 - $B$17 + $B$18)/$B$21</f>
        <v>107.266104274487</v>
      </c>
      <c r="E26" s="35" t="n">
        <f aca="false">($B$15 + ($B$12*(1+E$25)/($A26-E$25))*$F$7 - $B$17 + $B$18)/$B$21</f>
        <v>114.826537427377</v>
      </c>
      <c r="F26" s="35" t="n">
        <f aca="false">($B$15 + ($B$12*(1+F$25)/($A26-F$25))*$F$7 - $B$17 + $B$18)/$B$21</f>
        <v>124.067066836465</v>
      </c>
    </row>
    <row r="27" customFormat="false" ht="30" hidden="false" customHeight="true" outlineLevel="0" collapsed="false">
      <c r="A27" s="34" t="n">
        <v>0.09</v>
      </c>
      <c r="B27" s="35" t="n">
        <f aca="false">($B$15 + ($B$12*(1+B$25)/($A27-B$25))*$F$7 - $B$17 + $B$18)/$B$21</f>
        <v>91.3389244922307</v>
      </c>
      <c r="C27" s="35" t="n">
        <f aca="false">($B$15 + ($B$12*(1+C$25)/($A27-C$25))*$F$7 - $B$17 + $B$18)/$B$21</f>
        <v>95.9294746265879</v>
      </c>
      <c r="D27" s="35" t="n">
        <f aca="false">($B$15 + ($B$12*(1+D$25)/($A27-D$25))*$F$7 - $B$17 + $B$18)/$B$21</f>
        <v>101.285116450005</v>
      </c>
      <c r="E27" s="35" t="n">
        <f aca="false">($B$15 + ($B$12*(1+E$25)/($A27-E$25))*$F$7 - $B$17 + $B$18)/$B$21</f>
        <v>107.614511332224</v>
      </c>
      <c r="F27" s="35" t="n">
        <f aca="false">($B$15 + ($B$12*(1+F$25)/($A27-F$25))*$F$7 - $B$17 + $B$18)/$B$21</f>
        <v>115.209785190888</v>
      </c>
    </row>
    <row r="28" customFormat="false" ht="30" hidden="false" customHeight="true" outlineLevel="0" collapsed="false">
      <c r="A28" s="34" t="n">
        <v>0.095</v>
      </c>
      <c r="B28" s="35" t="n">
        <f aca="false">($B$15 + ($B$12*(1+B$25)/($A28-B$25))*$F$7 - $B$17 + $B$18)/$B$21</f>
        <v>87.6159462181282</v>
      </c>
      <c r="C28" s="35" t="n">
        <f aca="false">($B$15 + ($B$12*(1+C$25)/($A28-C$25))*$F$7 - $B$17 + $B$18)/$B$21</f>
        <v>91.6126728947383</v>
      </c>
      <c r="D28" s="35" t="n">
        <f aca="false">($B$15 + ($B$12*(1+D$25)/($A28-D$25))*$F$7 - $B$17 + $B$18)/$B$21</f>
        <v>96.2242805985191</v>
      </c>
      <c r="E28" s="35" t="n">
        <f aca="false">($B$15 + ($B$12*(1+E$25)/($A28-E$25))*$F$7 - $B$17 + $B$18)/$B$21</f>
        <v>101.604489586263</v>
      </c>
      <c r="F28" s="35" t="n">
        <f aca="false">($B$15 + ($B$12*(1+F$25)/($A28-F$25))*$F$7 - $B$17 + $B$18)/$B$21</f>
        <v>107.962918389961</v>
      </c>
    </row>
    <row r="29" customFormat="false" ht="30" hidden="false" customHeight="true" outlineLevel="0" collapsed="false">
      <c r="A29" s="34" t="n">
        <v>0.1</v>
      </c>
      <c r="B29" s="35" t="n">
        <f aca="false">($B$15 + ($B$12*(1+B$25)/($A29-B$25))*$F$7 - $B$17 + $B$18)/$B$21</f>
        <v>84.3583402282885</v>
      </c>
      <c r="C29" s="35" t="n">
        <f aca="false">($B$15 + ($B$12*(1+C$25)/($A29-C$25))*$F$7 - $B$17 + $B$18)/$B$21</f>
        <v>87.8714447271352</v>
      </c>
      <c r="D29" s="35" t="n">
        <f aca="false">($B$15 + ($B$12*(1+D$25)/($A29-D$25))*$F$7 - $B$17 + $B$18)/$B$21</f>
        <v>91.8864212972458</v>
      </c>
      <c r="E29" s="35" t="n">
        <f aca="false">($B$15 + ($B$12*(1+E$25)/($A29-E$25))*$F$7 - $B$17 + $B$18)/$B$21</f>
        <v>96.5190865704503</v>
      </c>
      <c r="F29" s="35" t="n">
        <f aca="false">($B$15 + ($B$12*(1+F$25)/($A29-F$25))*$F$7 - $B$17 + $B$18)/$B$21</f>
        <v>101.923862722522</v>
      </c>
    </row>
    <row r="30" customFormat="false" ht="30" hidden="false" customHeight="true" outlineLevel="0" collapsed="false">
      <c r="A30" s="34" t="n">
        <v>0.105</v>
      </c>
      <c r="B30" s="35" t="n">
        <f aca="false">($B$15 + ($B$12*(1+B$25)/($A30-B$25))*$F$7 - $B$17 + $B$18)/$B$21</f>
        <v>81.4839820019594</v>
      </c>
      <c r="C30" s="35" t="n">
        <f aca="false">($B$15 + ($B$12*(1+C$25)/($A30-C$25))*$F$7 - $B$17 + $B$18)/$B$21</f>
        <v>84.5978700804827</v>
      </c>
      <c r="D30" s="35" t="n">
        <f aca="false">($B$15 + ($B$12*(1+D$25)/($A30-D$25))*$F$7 - $B$17 + $B$18)/$B$21</f>
        <v>88.1269432361423</v>
      </c>
      <c r="E30" s="35" t="n">
        <f aca="false">($B$15 + ($B$12*(1+E$25)/($A30-E$25))*$F$7 - $B$17 + $B$18)/$B$21</f>
        <v>92.1601696997533</v>
      </c>
      <c r="F30" s="35" t="n">
        <f aca="false">($B$15 + ($B$12*(1+F$25)/($A30-F$25))*$F$7 - $B$17 + $B$18)/$B$21</f>
        <v>96.8138925423815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48"/>
  </cols>
  <sheetData>
    <row r="1" customFormat="false" ht="18" hidden="false" customHeight="true" outlineLevel="0" collapsed="false">
      <c r="A1" s="11" t="s">
        <v>33</v>
      </c>
      <c r="B1" s="11"/>
      <c r="C1" s="11"/>
      <c r="D1" s="11"/>
      <c r="E1" s="11"/>
      <c r="F1" s="11"/>
      <c r="G1" s="11"/>
      <c r="H1" s="1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" hidden="false" customHeight="true" outlineLevel="0" collapsed="false">
      <c r="A2" s="4" t="s">
        <v>215</v>
      </c>
      <c r="B2" s="4"/>
      <c r="C2" s="4"/>
      <c r="D2" s="4"/>
      <c r="E2" s="4"/>
      <c r="F2" s="4"/>
      <c r="G2" s="4"/>
      <c r="H2" s="4"/>
    </row>
    <row r="3" customFormat="false" ht="15" hidden="false" customHeight="true" outlineLevel="0" collapsed="false"/>
    <row r="4" customFormat="false" ht="18" hidden="false" customHeight="true" outlineLevel="0" collapsed="false">
      <c r="A4" s="8" t="s">
        <v>216</v>
      </c>
      <c r="B4" s="8" t="s">
        <v>217</v>
      </c>
      <c r="C4" s="8" t="s">
        <v>218</v>
      </c>
      <c r="D4" s="8" t="s">
        <v>198</v>
      </c>
    </row>
    <row r="5" customFormat="false" ht="15" hidden="false" customHeight="true" outlineLevel="0" collapsed="false">
      <c r="A5" s="9" t="s">
        <v>219</v>
      </c>
      <c r="B5" s="36" t="n">
        <f aca="false">'Historical Financials'!D7-12241</f>
        <v>0</v>
      </c>
      <c r="C5" s="37" t="str">
        <f aca="false">IF(B5=0,"PASS","FAIL")</f>
        <v>PASS</v>
      </c>
      <c r="D5" s="10" t="s">
        <v>220</v>
      </c>
    </row>
    <row r="6" customFormat="false" ht="15" hidden="false" customHeight="true" outlineLevel="0" collapsed="false">
      <c r="A6" s="9" t="s">
        <v>221</v>
      </c>
      <c r="B6" s="36" t="n">
        <f aca="false">'Historical Financials'!D14-2544</f>
        <v>0</v>
      </c>
      <c r="C6" s="37" t="str">
        <f aca="false">IF(B6=0,"PASS","FAIL")</f>
        <v>PASS</v>
      </c>
      <c r="D6" s="10" t="s">
        <v>222</v>
      </c>
    </row>
    <row r="7" customFormat="false" ht="15" hidden="false" customHeight="true" outlineLevel="0" collapsed="false">
      <c r="A7" s="9" t="s">
        <v>223</v>
      </c>
      <c r="B7" s="36" t="n">
        <f aca="false">'Historical Financials'!D19-2511</f>
        <v>0</v>
      </c>
      <c r="C7" s="37" t="str">
        <f aca="false">IF(B7=0,"PASS","FAIL")</f>
        <v>PASS</v>
      </c>
      <c r="D7" s="10" t="s">
        <v>224</v>
      </c>
    </row>
    <row r="8" customFormat="false" ht="30" hidden="false" customHeight="true" outlineLevel="0" collapsed="false">
      <c r="A8" s="9" t="s">
        <v>225</v>
      </c>
      <c r="B8" s="36" t="n">
        <f aca="false">'Historical Financials'!D33-'Historical Financials'!D43</f>
        <v>0</v>
      </c>
      <c r="C8" s="37" t="str">
        <f aca="false">IF(B8=0,"PASS","FAIL")</f>
        <v>PASS</v>
      </c>
      <c r="D8" s="10" t="s">
        <v>226</v>
      </c>
    </row>
    <row r="9" customFormat="false" ht="15" hidden="false" customHeight="true" outlineLevel="0" collapsed="false">
      <c r="A9" s="9" t="s">
        <v>227</v>
      </c>
      <c r="B9" s="36" t="n">
        <f aca="false">'Historical Financials'!D67-13486</f>
        <v>0</v>
      </c>
      <c r="C9" s="37" t="str">
        <f aca="false">IF(B9=0,"PASS","FAIL")</f>
        <v>PASS</v>
      </c>
      <c r="D9" s="10" t="s">
        <v>228</v>
      </c>
    </row>
    <row r="10" customFormat="false" ht="30" hidden="false" customHeight="true" outlineLevel="0" collapsed="false">
      <c r="A10" s="9" t="s">
        <v>229</v>
      </c>
      <c r="B10" s="36" t="n">
        <f aca="false">'Operating Drivers'!D21-'Operating Drivers'!D7</f>
        <v>0</v>
      </c>
      <c r="C10" s="37" t="str">
        <f aca="false">IF(B10=0,"PASS","FAIL")</f>
        <v>PASS</v>
      </c>
      <c r="D10" s="10" t="s">
        <v>230</v>
      </c>
    </row>
    <row r="11" customFormat="false" ht="30" hidden="false" customHeight="true" outlineLevel="0" collapsed="false">
      <c r="A11" s="9" t="s">
        <v>231</v>
      </c>
      <c r="B11" s="36" t="n">
        <f aca="false">'Operating Drivers'!D28-'Operating Drivers'!D6</f>
        <v>0</v>
      </c>
      <c r="C11" s="37" t="str">
        <f aca="false">IF(B11=0,"PASS","FAIL")</f>
        <v>PASS</v>
      </c>
      <c r="D11" s="10" t="s">
        <v>232</v>
      </c>
    </row>
    <row r="12" customFormat="false" ht="30" hidden="false" customHeight="true" outlineLevel="0" collapsed="false">
      <c r="A12" s="9" t="s">
        <v>233</v>
      </c>
      <c r="B12" s="36" t="n">
        <f aca="false">'Operating Drivers'!D35-'Operating Drivers'!D5</f>
        <v>0</v>
      </c>
      <c r="C12" s="37" t="str">
        <f aca="false">IF(B12=0,"PASS","FAIL")</f>
        <v>PASS</v>
      </c>
      <c r="D12" s="10" t="s">
        <v>234</v>
      </c>
    </row>
    <row r="13" customFormat="false" ht="15" hidden="false" customHeight="true" outlineLevel="0" collapsed="false">
      <c r="A13" s="9" t="s">
        <v>235</v>
      </c>
      <c r="B13" s="36" t="n">
        <f aca="false">IF(COUNTA(DCF!B26:F30)=25,0,1)</f>
        <v>0</v>
      </c>
      <c r="C13" s="37" t="str">
        <f aca="false">IF(B13=0,"PASS","FAIL")</f>
        <v>PASS</v>
      </c>
      <c r="D13" s="10" t="s">
        <v>236</v>
      </c>
    </row>
    <row r="14" customFormat="false" ht="15" hidden="false" customHeight="true" outlineLevel="0" collapsed="false">
      <c r="A14" s="9" t="s">
        <v>237</v>
      </c>
      <c r="B14" s="36" t="n">
        <f aca="false">'Forecast Model'!I25</f>
        <v>3330.52244348237</v>
      </c>
      <c r="C14" s="37" t="str">
        <f aca="false">IF(B14&gt;0,"PASS","FAIL")</f>
        <v>PASS</v>
      </c>
      <c r="D14" s="10" t="s">
        <v>238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2026-06-30T19:52:39Z</dcterms:created>
  <dc:creator/>
  <dc:description/>
  <dc:language>en-US</dc:language>
  <cp:lastModifiedBy/>
  <dcterms:modified xsi:type="dcterms:W3CDTF">2026-06-30T19:52:41Z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