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b2c0bc84d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d084f77b04e488a"/>
    <x:sheet xmlns:r="http://schemas.openxmlformats.org/officeDocument/2006/relationships" name="Sources" sheetId="2" r:id="R69f1126c15fd4b22"/>
    <x:sheet xmlns:r="http://schemas.openxmlformats.org/officeDocument/2006/relationships" name="Historical Financials" sheetId="3" r:id="R8761c44c843241f6"/>
    <x:sheet xmlns:r="http://schemas.openxmlformats.org/officeDocument/2006/relationships" name="Operating Drivers" sheetId="4" r:id="R2a5365d0426b4ffd"/>
    <x:sheet xmlns:r="http://schemas.openxmlformats.org/officeDocument/2006/relationships" name="Inputs" sheetId="5" r:id="R04ceff370a274929"/>
    <x:sheet xmlns:r="http://schemas.openxmlformats.org/officeDocument/2006/relationships" name="Forecast Model" sheetId="6" r:id="R0b5a731b00be4fe7"/>
    <x:sheet xmlns:r="http://schemas.openxmlformats.org/officeDocument/2006/relationships" name="DCF" sheetId="7" r:id="R5c0ac72f8a0147b9"/>
    <x:sheet xmlns:r="http://schemas.openxmlformats.org/officeDocument/2006/relationships" name="QA Checks" sheetId="8" r:id="Re211f761b8a145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0;[Red](0.00);-"/>
    <x:numFmt numFmtId="202" formatCode="0.0%;[Red](0.0%);-"/>
    <x:numFmt numFmtId="203" formatCode="$0.00;[Red]($0.00);-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200" fontId="8" fillId="2" borderId="0" xfId="0" applyNumberFormat="1" applyFont="1" applyFill="1" applyBorder="1" applyAlignment="1">
      <x:alignment horizontal="left"/>
    </x:xf>
    <x:xf numFmtId="0" fontId="8" fillId="2" borderId="1" xfId="0" applyNumberFormat="1" applyFont="1" applyFill="1" applyBorder="1" applyAlignment="1">
      <x:alignment horizontal="left"/>
    </x:xf>
    <x:xf numFmtId="200" fontId="8" fillId="2" borderId="1" xfId="0" applyNumberFormat="1" applyFont="1" applyFill="1" applyBorder="1" applyAlignment="1">
      <x:alignment horizontal="left"/>
    </x:xf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202" fontId="6" fillId="4" borderId="1" xfId="0" applyNumberFormat="1" applyFont="1" applyFill="1" applyBorder="1"/>
    <x:xf numFmtId="0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200" fontId="9" fillId="0" borderId="0" xfId="0" applyNumberFormat="1" applyFont="1" applyFill="1" applyBorder="1"/>
    <x:xf numFmtId="200" fontId="10" fillId="2" borderId="0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/>
    <x:xf numFmtId="0" fontId="10" fillId="2" borderId="1" xfId="0" applyNumberFormat="1" applyFont="1" applyFill="1" applyBorder="1" applyAlignment="1">
      <x:alignment horizontal="left"/>
    </x:xf>
    <x:xf numFmtId="200" fontId="9" fillId="0" borderId="1" xfId="0" applyNumberFormat="1" applyFont="1" applyFill="1" applyBorder="1"/>
    <x:xf numFmtId="200" fontId="10" fillId="2" borderId="1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200" fontId="5" fillId="2" borderId="0" xfId="0" applyNumberFormat="1" applyFont="1" applyFill="1" applyBorder="1" applyAlignment="1">
      <x:alignment horizontal="left"/>
    </x:xf>
    <x:xf numFmtId="0" fontId="7" fillId="0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200" fontId="5" fillId="2" borderId="1" xfId="0" applyNumberFormat="1" applyFont="1" applyFill="1" applyBorder="1" applyAlignment="1">
      <x:alignment horizontal="left"/>
    </x:xf>
    <x:xf numFmtId="202" fontId="9" fillId="0" borderId="0" xfId="0" applyNumberFormat="1" applyFont="1" applyFill="1" applyBorder="1"/>
    <x:xf numFmtId="202" fontId="9" fillId="0" borderId="1" xfId="0" applyNumberFormat="1" applyFont="1" applyFill="1" applyBorder="1"/>
    <x:xf numFmtId="202" fontId="5" fillId="2" borderId="0" xfId="0" applyNumberFormat="1" applyFont="1" applyFill="1" applyBorder="1" applyAlignment="1">
      <x:alignment horizontal="left"/>
    </x:xf>
    <x:xf numFmtId="202" fontId="5" fillId="2" borderId="1" xfId="0" applyNumberFormat="1" applyFont="1" applyFill="1" applyBorder="1" applyAlignment="1">
      <x:alignment horizontal="left"/>
    </x:xf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left" vertical="center"/>
    </x:xf>
    <x:xf numFmtId="0" fontId="12" fillId="0" borderId="1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 wrapText="1"/>
    </x:xf>
    <x:xf numFmtId="0" fontId="11" fillId="2" borderId="1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07fcb80a484b6a" /><Relationship Type="http://schemas.openxmlformats.org/officeDocument/2006/relationships/theme" Target="/xl/theme/theme1.xml" Id="R4754196ed10d468b" /><Relationship Type="http://schemas.openxmlformats.org/officeDocument/2006/relationships/sharedStrings" Target="/xl/sharedStrings.xml" Id="R96e2ff19734a44c6" /><Relationship Type="http://schemas.openxmlformats.org/officeDocument/2006/relationships/worksheet" Target="/xl/worksheets/sheet1.xml" Id="R9d084f77b04e488a" /><Relationship Type="http://schemas.openxmlformats.org/officeDocument/2006/relationships/worksheet" Target="/xl/worksheets/sheet2.xml" Id="R69f1126c15fd4b22" /><Relationship Type="http://schemas.openxmlformats.org/officeDocument/2006/relationships/worksheet" Target="/xl/worksheets/sheet3.xml" Id="R8761c44c843241f6" /><Relationship Type="http://schemas.openxmlformats.org/officeDocument/2006/relationships/worksheet" Target="/xl/worksheets/sheet4.xml" Id="R2a5365d0426b4ffd" /><Relationship Type="http://schemas.openxmlformats.org/officeDocument/2006/relationships/worksheet" Target="/xl/worksheets/sheet5.xml" Id="R04ceff370a274929" /><Relationship Type="http://schemas.openxmlformats.org/officeDocument/2006/relationships/worksheet" Target="/xl/worksheets/sheet6.xml" Id="R0b5a731b00be4fe7" /><Relationship Type="http://schemas.openxmlformats.org/officeDocument/2006/relationships/worksheet" Target="/xl/worksheets/sheet7.xml" Id="R5c0ac72f8a0147b9" /><Relationship Type="http://schemas.openxmlformats.org/officeDocument/2006/relationships/worksheet" Target="/xl/worksheets/sheet8.xml" Id="Re211f761b8a145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4c6117f87449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Airbnb Revenue / GBV / Nights</a:t>
            </a:r>
          </a:p>
        </c:rich>
      </c:tx>
      <c:overlay val="0"/>
    </c:title>
    <c:autoTitleDeleted val="0"/>
    <c:plotArea>
      <c:layout/>
      <c:lineChart>
        <c:grouping val="standard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4c6117f87449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a93363be1ad477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</x:cols>
  <x:sheetData>
    <x:row r="1" ht="30" customHeight="1">
      <x:c r="A1" s="82" t="str">
        <x:v>Airbnb, Inc. (ABNB) — Banker-Style EDGAR-Tied Model</x:v>
      </x:c>
      <x:c r="B1" s="82" t="str"/>
      <x:c r="C1" s="82" t="str"/>
      <x:c r="D1" s="82" t="str"/>
      <x:c r="E1" s="82" t="str"/>
      <x:c r="F1" s="82" t="str"/>
      <x:c r="G1" s="82" t="str"/>
      <x:c r="H1" s="82" t="str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ht="24" customHeight="1">
      <x:c r="A2" s="10" t="str">
        <x:v>Historical actuals from EDGAR; forecast assumptions separated; DCF formula-driven.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13" t="str">
        <x:v>Company</x:v>
      </x:c>
      <x:c r="B4" s="16" t="str">
        <x:v>Airbnb, Inc.</x:v>
      </x:c>
    </x:row>
    <x:row r="5">
      <x:c r="A5" s="13" t="str">
        <x:v>Ticker</x:v>
      </x:c>
      <x:c r="B5" s="16" t="str">
        <x:v>ABNB</x:v>
      </x:c>
    </x:row>
    <x:row r="6">
      <x:c r="A6" s="13" t="str">
        <x:v>Model status</x:v>
      </x:c>
      <x:c r="B6" s="16" t="str">
        <x:v>Banker-style final draft — historical actuals tied to EDGAR / SEC filings</x:v>
      </x:c>
    </x:row>
    <x:row r="7">
      <x:c r="A7" s="13" t="str">
        <x:v>Historical periods</x:v>
      </x:c>
      <x:c r="B7" s="16" t="str">
        <x:v>FY2023A, FY2024A, FY2025A</x:v>
      </x:c>
    </x:row>
    <x:row r="8">
      <x:c r="A8" s="13" t="str">
        <x:v>Forecast periods</x:v>
      </x:c>
      <x:c r="B8" s="16" t="str">
        <x:v>FY2026E–FY2030E</x:v>
      </x:c>
    </x:row>
    <x:row r="9">
      <x:c r="A9" s="13" t="str">
        <x:v>Units</x:v>
      </x:c>
      <x:c r="B9" s="16" t="str">
        <x:v>$ in millions, except per-share / KPI data</x:v>
      </x:c>
    </x:row>
    <x:row r="10">
      <x:c r="A10" s="13" t="str">
        <x:v>Key thesis</x:v>
      </x:c>
      <x:c r="B10" s="16" t="str">
        <x:v>Asset-light marketplace model with strong FCF conversion; revenue driven by Nights &amp; Seats Booked, GBV, take-rate, and regional mix.</x:v>
      </x:c>
    </x:row>
    <x:row r="11">
      <x:c r="A11" s="13" t="str">
        <x:v>Important note</x:v>
      </x:c>
      <x:c r="B11" s="16" t="str">
        <x:v>Forecasts and DCF valuation are assumptions / formulas, not factual actuals.</x:v>
      </x:c>
    </x:row>
    <x:row r="13">
      <x:c r="A13" s="19" t="str">
        <x:v>Workbook Map</x:v>
      </x:c>
      <x:c r="B13" s="19" t="str"/>
      <x:c r="C13" s="19" t="str"/>
      <x:c r="D13" s="19" t="str"/>
      <x:c r="E13" s="19" t="str"/>
      <x:c r="F13" s="19" t="str"/>
      <x:c r="G13" s="19" t="str"/>
      <x:c r="H13" s="19" t="str"/>
    </x:row>
    <x:row r="14">
      <x:c r="A14" s="24" t="str">
        <x:v>Sheet</x:v>
      </x:c>
      <x:c r="B14" s="24" t="str">
        <x:v>Purpose</x:v>
      </x:c>
      <x:c r="C14" s="24" t="str"/>
      <x:c r="D14" s="24" t="str"/>
      <x:c r="E14" s="24" t="str"/>
      <x:c r="F14" s="24" t="str"/>
      <x:c r="G14" s="24" t="str"/>
      <x:c r="H14" s="24" t="str"/>
    </x:row>
    <x:row r="15">
      <x:c r="A15" t="str">
        <x:v>Sources</x:v>
      </x:c>
      <x:c r="B15" t="str">
        <x:v>Source map with SEC URLs and line references.</x:v>
      </x:c>
      <x:c r="C15" t="str"/>
      <x:c r="D15" t="str"/>
      <x:c r="E15" t="str"/>
      <x:c r="F15" t="str"/>
      <x:c r="G15" t="str"/>
      <x:c r="H15" t="str"/>
    </x:row>
    <x:row r="16">
      <x:c r="A16" t="str">
        <x:v>Historical Financials</x:v>
      </x:c>
      <x:c r="B16" t="str">
        <x:v>EDGAR-tied 2023A–2025A IS / BS / CF actuals.</x:v>
      </x:c>
      <x:c r="C16" t="str"/>
      <x:c r="D16" t="str"/>
      <x:c r="E16" t="str"/>
      <x:c r="F16" t="str"/>
      <x:c r="G16" t="str"/>
      <x:c r="H16" t="str"/>
    </x:row>
    <x:row r="17">
      <x:c r="A17" t="str">
        <x:v>Operating Drivers</x:v>
      </x:c>
      <x:c r="B17" t="str">
        <x:v>Nights &amp; Seats Booked, GBV, regional revenue / mix.</x:v>
      </x:c>
      <x:c r="C17" t="str"/>
      <x:c r="D17" t="str"/>
      <x:c r="E17" t="str"/>
      <x:c r="F17" t="str"/>
      <x:c r="G17" t="str"/>
      <x:c r="H17" t="str"/>
    </x:row>
    <x:row r="18">
      <x:c r="A18" t="str">
        <x:v>Inputs</x:v>
      </x:c>
      <x:c r="B18" t="str">
        <x:v>Forecast assumptions only.</x:v>
      </x:c>
      <x:c r="C18" t="str"/>
      <x:c r="D18" t="str"/>
      <x:c r="E18" t="str"/>
      <x:c r="F18" t="str"/>
      <x:c r="G18" t="str"/>
      <x:c r="H18" t="str"/>
    </x:row>
    <x:row r="19">
      <x:c r="A19" t="str">
        <x:v>Forecast Model</x:v>
      </x:c>
      <x:c r="B19" t="str">
        <x:v>Formula-driven projection model.</x:v>
      </x:c>
      <x:c r="C19" t="str"/>
      <x:c r="D19" t="str"/>
      <x:c r="E19" t="str"/>
      <x:c r="F19" t="str"/>
      <x:c r="G19" t="str"/>
      <x:c r="H19" t="str"/>
    </x:row>
    <x:row r="20">
      <x:c r="A20" t="str">
        <x:v>DCF</x:v>
      </x:c>
      <x:c r="B20" t="str">
        <x:v>Formula-driven DCF and sensitivity.</x:v>
      </x:c>
      <x:c r="C20" t="str"/>
      <x:c r="D20" t="str"/>
      <x:c r="E20" t="str"/>
      <x:c r="F20" t="str"/>
      <x:c r="G20" t="str"/>
      <x:c r="H20" t="str"/>
    </x:row>
    <x:row r="21">
      <x:c r="A21" t="str">
        <x:v>QA Checks</x:v>
      </x:c>
      <x:c r="B21" t="str">
        <x:v>Tie-out and model integrity checks.</x:v>
      </x:c>
      <x:c r="C21" t="str"/>
      <x:c r="D21" t="str"/>
      <x:c r="E21" t="str"/>
      <x:c r="F21" t="str"/>
      <x:c r="G21" t="str"/>
      <x:c r="H21" t="str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70" hidden="0" customWidth="1"/>
    <x:col min="4" max="4" width="70" hidden="0" customWidth="1"/>
  </x:cols>
  <x:sheetData>
    <x:row r="1" ht="30" customHeight="1">
      <x:c r="A1" s="86" t="str">
        <x:v>Source Map</x:v>
      </x:c>
      <x:c r="B1" s="86" t="str"/>
      <x:c r="C1" s="86" t="str"/>
      <x:c r="D1" s="86" t="str"/>
      <x:c r="E1" s="82" t="str"/>
      <x:c r="F1" s="82" t="str"/>
      <x:c r="G1" s="82" t="str"/>
      <x:c r="H1" s="82" t="str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ht="24" customHeight="1">
      <x:c r="A2" s="10" t="str">
        <x:v>Plain-text URLs and line references used for historical hardcodes.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24" t="str">
        <x:v>Area</x:v>
      </x:c>
      <x:c r="B4" s="24" t="str">
        <x:v>Source</x:v>
      </x:c>
      <x:c r="C4" s="24" t="str">
        <x:v>URL</x:v>
      </x:c>
      <x:c r="D4" s="24" t="str">
        <x:v>Line references / notes</x:v>
      </x:c>
    </x:row>
    <x:row r="5">
      <x:c r="A5" t="str">
        <x:v>FY2025 10-K</x:v>
      </x:c>
      <x:c r="B5" t="str">
        <x:v>Airbnb FY2025 Form 10-K</x:v>
      </x:c>
      <x:c r="C5" t="str">
        <x:v>https://www.sec.gov/Archives/edgar/data/1559720/000155972026000004/abnb-20251231.htm</x:v>
      </x:c>
      <x:c r="D5" t="str">
        <x:v>Main filing used for FY2023–FY2025 income statement and cash flow statement; FY2024–FY2025 balance sheet.</x:v>
      </x:c>
    </x:row>
    <x:row r="6">
      <x:c r="A6" t="str">
        <x:v>FY2024 10-K</x:v>
      </x:c>
      <x:c r="B6" t="str">
        <x:v>Airbnb FY2024 Form 10-K</x:v>
      </x:c>
      <x:c r="C6" t="str">
        <x:v>https://www.sec.gov/Archives/edgar/data/1559720/000155972025000010/abnb-20241231.htm</x:v>
      </x:c>
      <x:c r="D6" t="str">
        <x:v>Used for FY2023 balance sheet and 2023 / 2024 KPI bridge.</x:v>
      </x:c>
    </x:row>
    <x:row r="7">
      <x:c r="A7" t="str">
        <x:v>Income statement</x:v>
      </x:c>
      <x:c r="B7" t="str">
        <x:v>FY2025 10-K</x:v>
      </x:c>
      <x:c r="C7" t="str">
        <x:v>https://www.sec.gov/Archives/edgar/data/1559720/000155972026000004/abnb-20251231.htm</x:v>
      </x:c>
      <x:c r="D7" t="str">
        <x:v>Consolidated Statements of Operations, lines 2116–2155 in fetched source.</x:v>
      </x:c>
    </x:row>
    <x:row r="8">
      <x:c r="A8" t="str">
        <x:v>Balance sheet</x:v>
      </x:c>
      <x:c r="B8" t="str">
        <x:v>FY2025 / FY2024 10-K</x:v>
      </x:c>
      <x:c r="C8" t="str">
        <x:v>https://www.sec.gov/Archives/edgar/data/1559720/000155972026000004/abnb-20251231.htm ; https://www.sec.gov/Archives/edgar/data/1559720/000155972025000010/abnb-20241231.htm</x:v>
      </x:c>
      <x:c r="D8" t="str">
        <x:v>FY2025 10-K lines 2044–2105; FY2024 10-K lines 2022–2078.</x:v>
      </x:c>
    </x:row>
    <x:row r="9">
      <x:c r="A9" t="str">
        <x:v>Cash flow statement</x:v>
      </x:c>
      <x:c r="B9" t="str">
        <x:v>FY2025 10-K</x:v>
      </x:c>
      <x:c r="C9" t="str">
        <x:v>https://www.sec.gov/Archives/edgar/data/1559720/000155972026000004/abnb-20251231.htm</x:v>
      </x:c>
      <x:c r="D9" t="str">
        <x:v>Consolidated Statements of Cash Flows, lines 2250–2319.</x:v>
      </x:c>
    </x:row>
    <x:row r="10">
      <x:c r="A10" t="str">
        <x:v>Key metrics</x:v>
      </x:c>
      <x:c r="B10" t="str">
        <x:v>FY2025 / FY2024 10-K</x:v>
      </x:c>
      <x:c r="C10" t="str">
        <x:v>https://www.sec.gov/Archives/edgar/data/1559720/000155972026000004/abnb-20251231.htm ; https://www.sec.gov/Archives/edgar/data/1559720/000155972025000010/abnb-20241231.htm</x:v>
      </x:c>
      <x:c r="D10" t="str">
        <x:v>Nights and Seats / Experiences Booked, GBV, regional revenue, FCF and adjusted EBITDA reconciliations.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4" hidden="0" customWidth="1"/>
    <x:col min="3" max="3" width="14" hidden="0" customWidth="1"/>
    <x:col min="4" max="4" width="14" hidden="0" customWidth="1"/>
    <x:col min="5" max="5" width="48" hidden="0" customWidth="1"/>
  </x:cols>
  <x:sheetData>
    <x:row r="1" ht="30" customHeight="1">
      <x:c r="A1" s="86" t="str">
        <x:v>Historical Financials</x:v>
      </x:c>
      <x:c r="B1" s="86" t="str"/>
      <x:c r="C1" s="86" t="str"/>
      <x:c r="D1" s="86" t="str"/>
      <x:c r="E1" s="86" t="str"/>
      <x:c r="F1" s="82" t="str"/>
      <x:c r="G1" s="82" t="str"/>
      <x:c r="H1" s="82" t="str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ht="24" customHeight="1">
      <x:c r="A2" s="10" t="str">
        <x:v>$ in millions, except per-share data. Blue numbers are hardcoded EDGAR actuals.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24" t="str"/>
      <x:c r="B4" s="24" t="str">
        <x:v>2023A</x:v>
      </x:c>
      <x:c r="C4" s="24" t="str">
        <x:v>2024A</x:v>
      </x:c>
      <x:c r="D4" s="24" t="str">
        <x:v>2025A</x:v>
      </x:c>
      <x:c r="E4" s="24" t="str">
        <x:v>Source / note</x:v>
      </x:c>
    </x:row>
    <x:row r="6">
      <x:c r="A6" s="19" t="str">
        <x:v>Income Statement</x:v>
      </x:c>
      <x:c r="B6" s="19" t="str"/>
      <x:c r="C6" s="19" t="str"/>
      <x:c r="D6" s="19" t="str"/>
      <x:c r="E6" s="19" t="str"/>
    </x:row>
    <x:row r="7">
      <x:c r="A7" t="str">
        <x:v>Revenue</x:v>
      </x:c>
      <x:c r="B7" s="31" t="n">
        <x:v>9917</x:v>
      </x:c>
      <x:c r="C7" s="31" t="n">
        <x:v>11102</x:v>
      </x:c>
      <x:c r="D7" s="31" t="n">
        <x:v>12241</x:v>
      </x:c>
      <x:c r="E7" t="str">
        <x:v>FY2025 10-K, Consolidated Statements of Operations</x:v>
      </x:c>
    </x:row>
    <x:row r="8">
      <x:c r="A8" t="str">
        <x:v>Cost of revenue</x:v>
      </x:c>
      <x:c r="B8" s="31" t="n">
        <x:v>1703</x:v>
      </x:c>
      <x:c r="C8" s="31" t="n">
        <x:v>1878</x:v>
      </x:c>
      <x:c r="D8" s="31" t="n">
        <x:v>2086</x:v>
      </x:c>
      <x:c r="E8" t="str">
        <x:v>FY2025 10-K</x:v>
      </x:c>
    </x:row>
    <x:row r="9">
      <x:c r="A9" t="str">
        <x:v>Operations and support</x:v>
      </x:c>
      <x:c r="B9" s="31" t="n">
        <x:v>1186</x:v>
      </x:c>
      <x:c r="C9" s="31" t="n">
        <x:v>1282</x:v>
      </x:c>
      <x:c r="D9" s="31" t="n">
        <x:v>1327</x:v>
      </x:c>
      <x:c r="E9" t="str">
        <x:v>FY2025 10-K</x:v>
      </x:c>
    </x:row>
    <x:row r="10">
      <x:c r="A10" t="str">
        <x:v>Product development</x:v>
      </x:c>
      <x:c r="B10" s="31" t="n">
        <x:v>1722</x:v>
      </x:c>
      <x:c r="C10" s="31" t="n">
        <x:v>2056</x:v>
      </x:c>
      <x:c r="D10" s="31" t="n">
        <x:v>2354</x:v>
      </x:c>
      <x:c r="E10" t="str">
        <x:v>FY2025 10-K</x:v>
      </x:c>
    </x:row>
    <x:row r="11">
      <x:c r="A11" t="str">
        <x:v>Sales and marketing</x:v>
      </x:c>
      <x:c r="B11" s="31" t="n">
        <x:v>1763</x:v>
      </x:c>
      <x:c r="C11" s="31" t="n">
        <x:v>2148</x:v>
      </x:c>
      <x:c r="D11" s="31" t="n">
        <x:v>2588</x:v>
      </x:c>
      <x:c r="E11" t="str">
        <x:v>FY2025 10-K</x:v>
      </x:c>
    </x:row>
    <x:row r="12">
      <x:c r="A12" t="str">
        <x:v>General and administrative</x:v>
      </x:c>
      <x:c r="B12" s="31" t="n">
        <x:v>2025</x:v>
      </x:c>
      <x:c r="C12" s="31" t="n">
        <x:v>1185</x:v>
      </x:c>
      <x:c r="D12" s="31" t="n">
        <x:v>1342</x:v>
      </x:c>
      <x:c r="E12" t="str">
        <x:v>FY2025 10-K</x:v>
      </x:c>
    </x:row>
    <x:row r="13">
      <x:c r="A13" t="str">
        <x:v>Total costs and expenses</x:v>
      </x:c>
      <x:c r="B13" s="34" t="n">
        <x:f>SUM(B7:B12)</x:f>
        <x:v>18316</x:v>
      </x:c>
      <x:c r="C13" s="34" t="n">
        <x:f>SUM(C7:C12)</x:f>
        <x:v>19651</x:v>
      </x:c>
      <x:c r="D13" s="34" t="n">
        <x:f>SUM(D7:D12)</x:f>
        <x:v>21938</x:v>
      </x:c>
      <x:c r="E13" t="str">
        <x:v>Formula tie-out</x:v>
      </x:c>
    </x:row>
    <x:row r="14">
      <x:c r="A14" t="str">
        <x:v>Income from operations</x:v>
      </x:c>
      <x:c r="B14" s="31" t="n">
        <x:v>1518</x:v>
      </x:c>
      <x:c r="C14" s="31" t="n">
        <x:v>2553</x:v>
      </x:c>
      <x:c r="D14" s="31" t="n">
        <x:v>2544</x:v>
      </x:c>
      <x:c r="E14" t="str">
        <x:v>FY2025 10-K</x:v>
      </x:c>
    </x:row>
    <x:row r="15">
      <x:c r="A15" t="str">
        <x:v>Interest income</x:v>
      </x:c>
      <x:c r="B15" s="31" t="n">
        <x:v>721</x:v>
      </x:c>
      <x:c r="C15" s="31" t="n">
        <x:v>818</x:v>
      </x:c>
      <x:c r="D15" s="31" t="n">
        <x:v>705</x:v>
      </x:c>
      <x:c r="E15" t="str">
        <x:v>FY2025 10-K</x:v>
      </x:c>
    </x:row>
    <x:row r="16">
      <x:c r="A16" t="str">
        <x:v>Other expense, net</x:v>
      </x:c>
      <x:c r="B16" s="31" t="n">
        <x:v>-137</x:v>
      </x:c>
      <x:c r="C16" s="31" t="n">
        <x:v>-40</x:v>
      </x:c>
      <x:c r="D16" s="31" t="n">
        <x:v>-112</x:v>
      </x:c>
      <x:c r="E16" t="str">
        <x:v>FY2025 10-K</x:v>
      </x:c>
    </x:row>
    <x:row r="17">
      <x:c r="A17" t="str">
        <x:v>Income before income taxes</x:v>
      </x:c>
      <x:c r="B17" s="31" t="n">
        <x:v>2102</x:v>
      </x:c>
      <x:c r="C17" s="31" t="n">
        <x:v>3331</x:v>
      </x:c>
      <x:c r="D17" s="31" t="n">
        <x:v>3137</x:v>
      </x:c>
      <x:c r="E17" t="str">
        <x:v>FY2025 10-K</x:v>
      </x:c>
    </x:row>
    <x:row r="18">
      <x:c r="A18" t="str">
        <x:v>Provision for (benefit from) income taxes</x:v>
      </x:c>
      <x:c r="B18" s="31" t="n">
        <x:v>-2690</x:v>
      </x:c>
      <x:c r="C18" s="31" t="n">
        <x:v>683</x:v>
      </x:c>
      <x:c r="D18" s="31" t="n">
        <x:v>626</x:v>
      </x:c>
      <x:c r="E18" t="str">
        <x:v>FY2025 10-K</x:v>
      </x:c>
    </x:row>
    <x:row r="19">
      <x:c r="A19" t="str">
        <x:v>Net income</x:v>
      </x:c>
      <x:c r="B19" s="31" t="n">
        <x:v>4792</x:v>
      </x:c>
      <x:c r="C19" s="31" t="n">
        <x:v>2648</x:v>
      </x:c>
      <x:c r="D19" s="31" t="n">
        <x:v>2511</x:v>
      </x:c>
      <x:c r="E19" t="str">
        <x:v>FY2025 10-K</x:v>
      </x:c>
    </x:row>
    <x:row r="20">
      <x:c r="A20" t="str">
        <x:v>Diluted shares</x:v>
      </x:c>
      <x:c r="B20" s="31" t="n">
        <x:v>662</x:v>
      </x:c>
      <x:c r="C20" s="31" t="n">
        <x:v>645</x:v>
      </x:c>
      <x:c r="D20" s="31" t="n">
        <x:v>623</x:v>
      </x:c>
      <x:c r="E20" t="str">
        <x:v>FY2025 10-K</x:v>
      </x:c>
    </x:row>
    <x:row r="21">
      <x:c r="A21" t="str">
        <x:v>Diluted EPS</x:v>
      </x:c>
      <x:c r="B21" s="36" t="n">
        <x:v>7.24</x:v>
      </x:c>
      <x:c r="C21" s="36" t="n">
        <x:v>4.11</x:v>
      </x:c>
      <x:c r="D21" s="36" t="n">
        <x:v>4.03</x:v>
      </x:c>
      <x:c r="E21" t="str">
        <x:v>FY2025 10-K</x:v>
      </x:c>
    </x:row>
    <x:row r="24">
      <x:c r="A24" s="19" t="str">
        <x:v>Balance Sheet</x:v>
      </x:c>
      <x:c r="B24" s="19" t="str"/>
      <x:c r="C24" s="19" t="str"/>
      <x:c r="D24" s="19" t="str"/>
      <x:c r="E24" s="19" t="str"/>
    </x:row>
    <x:row r="25">
      <x:c r="A25" t="str">
        <x:v>Cash and cash equivalents</x:v>
      </x:c>
      <x:c r="B25" s="31" t="n">
        <x:v>6874</x:v>
      </x:c>
      <x:c r="C25" s="31" t="n">
        <x:v>6864</x:v>
      </x:c>
      <x:c r="D25" s="31" t="n">
        <x:v>6560</x:v>
      </x:c>
      <x:c r="E25" t="str">
        <x:v>FY2024 / FY2025 10-K</x:v>
      </x:c>
    </x:row>
    <x:row r="26">
      <x:c r="A26" t="str">
        <x:v>Short-term investments</x:v>
      </x:c>
      <x:c r="B26" s="31" t="n">
        <x:v>3197</x:v>
      </x:c>
      <x:c r="C26" s="31" t="n">
        <x:v>3747</x:v>
      </x:c>
      <x:c r="D26" s="31" t="n">
        <x:v>4454</x:v>
      </x:c>
      <x:c r="E26" t="str">
        <x:v>FY2024 / FY2025 10-K</x:v>
      </x:c>
    </x:row>
    <x:row r="27">
      <x:c r="A27" t="str">
        <x:v>Funds receivable and amounts held on behalf of customers</x:v>
      </x:c>
      <x:c r="B27" s="31" t="n">
        <x:v>5869</x:v>
      </x:c>
      <x:c r="C27" s="31" t="n">
        <x:v>5931</x:v>
      </x:c>
      <x:c r="D27" s="31" t="n">
        <x:v>6959</x:v>
      </x:c>
      <x:c r="E27" t="str">
        <x:v>FY2024 / FY2025 10-K</x:v>
      </x:c>
    </x:row>
    <x:row r="28">
      <x:c r="A28" t="str">
        <x:v>Prepaids and other current assets</x:v>
      </x:c>
      <x:c r="B28" s="31" t="n">
        <x:v>569</x:v>
      </x:c>
      <x:c r="C28" s="31" t="n">
        <x:v>638</x:v>
      </x:c>
      <x:c r="D28" s="31" t="n">
        <x:v>824</x:v>
      </x:c>
      <x:c r="E28" t="str">
        <x:v>FY2024 / FY2025 10-K</x:v>
      </x:c>
    </x:row>
    <x:row r="29">
      <x:c r="A29" t="str">
        <x:v>Total current assets</x:v>
      </x:c>
      <x:c r="B29" s="31" t="n">
        <x:v>16509</x:v>
      </x:c>
      <x:c r="C29" s="31" t="n">
        <x:v>17180</x:v>
      </x:c>
      <x:c r="D29" s="31" t="n">
        <x:v>18797</x:v>
      </x:c>
      <x:c r="E29" t="str">
        <x:v>FY2024 / FY2025 10-K</x:v>
      </x:c>
    </x:row>
    <x:row r="30">
      <x:c r="A30" t="str">
        <x:v>Deferred income tax assets</x:v>
      </x:c>
      <x:c r="B30" s="31" t="n">
        <x:v>2881</x:v>
      </x:c>
      <x:c r="C30" s="31" t="n">
        <x:v>2439</x:v>
      </x:c>
      <x:c r="D30" s="31" t="n">
        <x:v>2102</x:v>
      </x:c>
      <x:c r="E30" t="str">
        <x:v>FY2024 / FY2025 10-K</x:v>
      </x:c>
    </x:row>
    <x:row r="31">
      <x:c r="A31" t="str">
        <x:v>Goodwill and intangible assets, net</x:v>
      </x:c>
      <x:c r="B31" s="31" t="n">
        <x:v>792</x:v>
      </x:c>
      <x:c r="C31" s="31" t="n">
        <x:v>777</x:v>
      </x:c>
      <x:c r="D31" s="31" t="n">
        <x:v>770</x:v>
      </x:c>
      <x:c r="E31" t="str">
        <x:v>FY2024 / FY2025 10-K</x:v>
      </x:c>
    </x:row>
    <x:row r="32">
      <x:c r="A32" t="str">
        <x:v>Other assets, noncurrent</x:v>
      </x:c>
      <x:c r="B32" s="31" t="n">
        <x:v>463</x:v>
      </x:c>
      <x:c r="C32" s="31" t="n">
        <x:v>563</x:v>
      </x:c>
      <x:c r="D32" s="31" t="n">
        <x:v>539</x:v>
      </x:c>
      <x:c r="E32" t="str">
        <x:v>FY2024 / FY2025 10-K</x:v>
      </x:c>
    </x:row>
    <x:row r="33">
      <x:c r="A33" t="str">
        <x:v>Total assets</x:v>
      </x:c>
      <x:c r="B33" s="31" t="n">
        <x:v>20645</x:v>
      </x:c>
      <x:c r="C33" s="31" t="n">
        <x:v>20959</x:v>
      </x:c>
      <x:c r="D33" s="31" t="n">
        <x:v>22208</x:v>
      </x:c>
      <x:c r="E33" t="str">
        <x:v>FY2024 / FY2025 10-K</x:v>
      </x:c>
    </x:row>
    <x:row r="34">
      <x:c r="A34" t="str">
        <x:v>Accrued expenses, accounts payable, and other current liabilities</x:v>
      </x:c>
      <x:c r="B34" s="31" t="n">
        <x:v>2654</x:v>
      </x:c>
      <x:c r="C34" s="31" t="n">
        <x:v>2614</x:v>
      </x:c>
      <x:c r="D34" s="31" t="n">
        <x:v>2948</x:v>
      </x:c>
      <x:c r="E34" t="str">
        <x:v>FY2024 / FY2025 10-K</x:v>
      </x:c>
    </x:row>
    <x:row r="35">
      <x:c r="A35" t="str">
        <x:v>Funds payable and amounts payable to customers</x:v>
      </x:c>
      <x:c r="B35" s="31" t="n">
        <x:v>5869</x:v>
      </x:c>
      <x:c r="C35" s="31" t="n">
        <x:v>5931</x:v>
      </x:c>
      <x:c r="D35" s="31" t="n">
        <x:v>6959</x:v>
      </x:c>
      <x:c r="E35" t="str">
        <x:v>FY2024 / FY2025 10-K</x:v>
      </x:c>
    </x:row>
    <x:row r="36">
      <x:c r="A36" t="str">
        <x:v>Current portion of long-term debt</x:v>
      </x:c>
      <x:c r="B36" s="31" t="n">
        <x:v>0</x:v>
      </x:c>
      <x:c r="C36" s="31" t="n">
        <x:v>0</x:v>
      </x:c>
      <x:c r="D36" s="31" t="n">
        <x:v>1999</x:v>
      </x:c>
      <x:c r="E36" t="str">
        <x:v>FY2024 / FY2025 10-K</x:v>
      </x:c>
    </x:row>
    <x:row r="37">
      <x:c r="A37" t="str">
        <x:v>Unearned fees</x:v>
      </x:c>
      <x:c r="B37" s="31" t="n">
        <x:v>1427</x:v>
      </x:c>
      <x:c r="C37" s="31" t="n">
        <x:v>1616</x:v>
      </x:c>
      <x:c r="D37" s="31" t="n">
        <x:v>1743</x:v>
      </x:c>
      <x:c r="E37" t="str">
        <x:v>FY2024 / FY2025 10-K</x:v>
      </x:c>
    </x:row>
    <x:row r="38">
      <x:c r="A38" t="str">
        <x:v>Total current liabilities</x:v>
      </x:c>
      <x:c r="B38" s="31" t="n">
        <x:v>9950</x:v>
      </x:c>
      <x:c r="C38" s="31" t="n">
        <x:v>10161</x:v>
      </x:c>
      <x:c r="D38" s="31" t="n">
        <x:v>13649</x:v>
      </x:c>
      <x:c r="E38" t="str">
        <x:v>FY2024 / FY2025 10-K</x:v>
      </x:c>
    </x:row>
    <x:row r="39">
      <x:c r="A39" t="str">
        <x:v>Long-term debt</x:v>
      </x:c>
      <x:c r="B39" s="31" t="n">
        <x:v>1991</x:v>
      </x:c>
      <x:c r="C39" s="31" t="n">
        <x:v>1995</x:v>
      </x:c>
      <x:c r="D39" s="31" t="n">
        <x:v>0</x:v>
      </x:c>
      <x:c r="E39" t="str">
        <x:v>FY2024 / FY2025 10-K</x:v>
      </x:c>
    </x:row>
    <x:row r="40">
      <x:c r="A40" t="str">
        <x:v>Other liabilities, noncurrent</x:v>
      </x:c>
      <x:c r="B40" s="31" t="n">
        <x:v>539</x:v>
      </x:c>
      <x:c r="C40" s="31" t="n">
        <x:v>391</x:v>
      </x:c>
      <x:c r="D40" s="31" t="n">
        <x:v>360</x:v>
      </x:c>
      <x:c r="E40" t="str">
        <x:v>FY2024 / FY2025 10-K</x:v>
      </x:c>
    </x:row>
    <x:row r="41">
      <x:c r="A41" t="str">
        <x:v>Total liabilities</x:v>
      </x:c>
      <x:c r="B41" s="31" t="n">
        <x:v>12480</x:v>
      </x:c>
      <x:c r="C41" s="31" t="n">
        <x:v>12547</x:v>
      </x:c>
      <x:c r="D41" s="31" t="n">
        <x:v>14009</x:v>
      </x:c>
      <x:c r="E41" t="str">
        <x:v>FY2024 / FY2025 10-K</x:v>
      </x:c>
    </x:row>
    <x:row r="42">
      <x:c r="A42" t="str">
        <x:v>Total stockholders' equity</x:v>
      </x:c>
      <x:c r="B42" s="31" t="n">
        <x:v>8165</x:v>
      </x:c>
      <x:c r="C42" s="31" t="n">
        <x:v>8412</x:v>
      </x:c>
      <x:c r="D42" s="31" t="n">
        <x:v>8199</x:v>
      </x:c>
      <x:c r="E42" t="str">
        <x:v>FY2024 / FY2025 10-K</x:v>
      </x:c>
    </x:row>
    <x:row r="43">
      <x:c r="A43" t="str">
        <x:v>Total liabilities and stockholders' equity</x:v>
      </x:c>
      <x:c r="B43" s="31" t="n">
        <x:v>20645</x:v>
      </x:c>
      <x:c r="C43" s="31" t="n">
        <x:v>20959</x:v>
      </x:c>
      <x:c r="D43" s="31" t="n">
        <x:v>22208</x:v>
      </x:c>
      <x:c r="E43" t="str">
        <x:v>FY2024 / FY2025 10-K</x:v>
      </x:c>
    </x:row>
    <x:row r="46">
      <x:c r="A46" s="19" t="str">
        <x:v>Cash Flow Statement</x:v>
      </x:c>
      <x:c r="B46" s="19" t="str"/>
      <x:c r="C46" s="19" t="str"/>
      <x:c r="D46" s="19" t="str"/>
      <x:c r="E46" s="19" t="str"/>
    </x:row>
    <x:row r="47">
      <x:c r="A47" t="str">
        <x:v>Net income</x:v>
      </x:c>
      <x:c r="B47" s="31" t="n">
        <x:v>4792</x:v>
      </x:c>
      <x:c r="C47" s="31" t="n">
        <x:v>2648</x:v>
      </x:c>
      <x:c r="D47" s="31" t="n">
        <x:v>2511</x:v>
      </x:c>
      <x:c r="E47" t="str">
        <x:v>FY2025 10-K</x:v>
      </x:c>
    </x:row>
    <x:row r="48">
      <x:c r="A48" t="str">
        <x:v>Stock-based compensation expense</x:v>
      </x:c>
      <x:c r="B48" s="31" t="n">
        <x:v>1120</x:v>
      </x:c>
      <x:c r="C48" s="31" t="n">
        <x:v>1407</x:v>
      </x:c>
      <x:c r="D48" s="31" t="n">
        <x:v>1592</x:v>
      </x:c>
      <x:c r="E48" t="str">
        <x:v>FY2025 10-K</x:v>
      </x:c>
    </x:row>
    <x:row r="49">
      <x:c r="A49" t="str">
        <x:v>Deferred income taxes</x:v>
      </x:c>
      <x:c r="B49" s="31" t="n">
        <x:v>-2875</x:v>
      </x:c>
      <x:c r="C49" s="31" t="n">
        <x:v>433</x:v>
      </x:c>
      <x:c r="D49" s="31" t="n">
        <x:v>376</x:v>
      </x:c>
      <x:c r="E49" t="str">
        <x:v>FY2025 10-K</x:v>
      </x:c>
    </x:row>
    <x:row r="50">
      <x:c r="A50" t="str">
        <x:v>Other, net</x:v>
      </x:c>
      <x:c r="B50" s="31" t="n">
        <x:v>127</x:v>
      </x:c>
      <x:c r="C50" s="31" t="n">
        <x:v>97</x:v>
      </x:c>
      <x:c r="D50" s="31" t="n">
        <x:v>273</x:v>
      </x:c>
      <x:c r="E50" t="str">
        <x:v>FY2025 10-K</x:v>
      </x:c>
    </x:row>
    <x:row r="51">
      <x:c r="A51" t="str">
        <x:v>Prepaids and other assets</x:v>
      </x:c>
      <x:c r="B51" s="31" t="n">
        <x:v>-102</x:v>
      </x:c>
      <x:c r="C51" s="31" t="n">
        <x:v>-163</x:v>
      </x:c>
      <x:c r="D51" s="31" t="n">
        <x:v>-346</x:v>
      </x:c>
      <x:c r="E51" t="str">
        <x:v>FY2025 10-K</x:v>
      </x:c>
    </x:row>
    <x:row r="52">
      <x:c r="A52" t="str">
        <x:v>Accrued expenses and other liabilities</x:v>
      </x:c>
      <x:c r="B52" s="31" t="n">
        <x:v>580</x:v>
      </x:c>
      <x:c r="C52" s="31" t="n">
        <x:v>-104</x:v>
      </x:c>
      <x:c r="D52" s="31" t="n">
        <x:v>118</x:v>
      </x:c>
      <x:c r="E52" t="str">
        <x:v>FY2025 10-K</x:v>
      </x:c>
    </x:row>
    <x:row r="53">
      <x:c r="A53" t="str">
        <x:v>Unearned fees</x:v>
      </x:c>
      <x:c r="B53" s="31" t="n">
        <x:v>242</x:v>
      </x:c>
      <x:c r="C53" s="31" t="n">
        <x:v>200</x:v>
      </x:c>
      <x:c r="D53" s="31" t="n">
        <x:v>122</x:v>
      </x:c>
      <x:c r="E53" t="str">
        <x:v>FY2025 10-K</x:v>
      </x:c>
    </x:row>
    <x:row r="54">
      <x:c r="A54" t="str">
        <x:v>Net cash provided by operating activities</x:v>
      </x:c>
      <x:c r="B54" s="31" t="n">
        <x:v>3884</x:v>
      </x:c>
      <x:c r="C54" s="31" t="n">
        <x:v>4518</x:v>
      </x:c>
      <x:c r="D54" s="31" t="n">
        <x:v>4646</x:v>
      </x:c>
      <x:c r="E54" t="str">
        <x:v>FY2025 10-K</x:v>
      </x:c>
    </x:row>
    <x:row r="55">
      <x:c r="A55" t="str">
        <x:v>Purchases of short-term investments</x:v>
      </x:c>
      <x:c r="B55" s="31" t="n">
        <x:v>-3308</x:v>
      </x:c>
      <x:c r="C55" s="31" t="n">
        <x:v>-3146</x:v>
      </x:c>
      <x:c r="D55" s="31" t="n">
        <x:v>-3438</x:v>
      </x:c>
      <x:c r="E55" t="str">
        <x:v>FY2025 10-K</x:v>
      </x:c>
    </x:row>
    <x:row r="56">
      <x:c r="A56" t="str">
        <x:v>Sales and maturities of short-term investments</x:v>
      </x:c>
      <x:c r="B56" s="31" t="n">
        <x:v>2380</x:v>
      </x:c>
      <x:c r="C56" s="31" t="n">
        <x:v>2605</x:v>
      </x:c>
      <x:c r="D56" s="31" t="n">
        <x:v>2736</x:v>
      </x:c>
      <x:c r="E56" t="str">
        <x:v>FY2025 10-K</x:v>
      </x:c>
    </x:row>
    <x:row r="57">
      <x:c r="A57" t="str">
        <x:v>Other investing activities, net</x:v>
      </x:c>
      <x:c r="B57" s="31" t="n">
        <x:v>-114</x:v>
      </x:c>
      <x:c r="C57" s="31" t="n">
        <x:v>-75</x:v>
      </x:c>
      <x:c r="D57" s="31" t="n">
        <x:v>-46</x:v>
      </x:c>
      <x:c r="E57" t="str">
        <x:v>FY2025 10-K</x:v>
      </x:c>
    </x:row>
    <x:row r="58">
      <x:c r="A58" t="str">
        <x:v>Net cash used in investing activities</x:v>
      </x:c>
      <x:c r="B58" s="31" t="n">
        <x:v>-1042</x:v>
      </x:c>
      <x:c r="C58" s="31" t="n">
        <x:v>-616</x:v>
      </x:c>
      <x:c r="D58" s="31" t="n">
        <x:v>-748</x:v>
      </x:c>
      <x:c r="E58" t="str">
        <x:v>FY2025 10-K</x:v>
      </x:c>
    </x:row>
    <x:row r="59">
      <x:c r="A59" t="str">
        <x:v>Share repurchases</x:v>
      </x:c>
      <x:c r="B59" s="31" t="n">
        <x:v>-2252</x:v>
      </x:c>
      <x:c r="C59" s="31" t="n">
        <x:v>-3430</x:v>
      </x:c>
      <x:c r="D59" s="31" t="n">
        <x:v>-3789</x:v>
      </x:c>
      <x:c r="E59" t="str">
        <x:v>FY2025 10-K</x:v>
      </x:c>
    </x:row>
    <x:row r="60">
      <x:c r="A60" t="str">
        <x:v>Taxes paid related to tax on equity awards</x:v>
      </x:c>
      <x:c r="B60" s="31" t="n">
        <x:v>-1224</x:v>
      </x:c>
      <x:c r="C60" s="31" t="n">
        <x:v>-630</x:v>
      </x:c>
      <x:c r="D60" s="31" t="n">
        <x:v>-561</x:v>
      </x:c>
      <x:c r="E60" t="str">
        <x:v>FY2025 10-K</x:v>
      </x:c>
    </x:row>
    <x:row r="61">
      <x:c r="A61" t="str">
        <x:v>Change in funds payable and amounts payable to customers</x:v>
      </x:c>
      <x:c r="B61" s="31" t="n">
        <x:v>936</x:v>
      </x:c>
      <x:c r="C61" s="31" t="n">
        <x:v>320</x:v>
      </x:c>
      <x:c r="D61" s="31" t="n">
        <x:v>401</x:v>
      </x:c>
      <x:c r="E61" t="str">
        <x:v>FY2025 10-K</x:v>
      </x:c>
    </x:row>
    <x:row r="62">
      <x:c r="A62" t="str">
        <x:v>Proceeds from exercise of equity awards and ESPP</x:v>
      </x:c>
      <x:c r="B62" s="31" t="n">
        <x:v>110</x:v>
      </x:c>
      <x:c r="C62" s="31" t="n">
        <x:v>168</x:v>
      </x:c>
      <x:c r="D62" s="31" t="n">
        <x:v>122</x:v>
      </x:c>
      <x:c r="E62" t="str">
        <x:v>FY2025 10-K</x:v>
      </x:c>
    </x:row>
    <x:row r="63">
      <x:c r="A63" t="str">
        <x:v>Net cash used in financing activities</x:v>
      </x:c>
      <x:c r="B63" s="31" t="n">
        <x:v>-2430</x:v>
      </x:c>
      <x:c r="C63" s="31" t="n">
        <x:v>-3572</x:v>
      </x:c>
      <x:c r="D63" s="31" t="n">
        <x:v>-3827</x:v>
      </x:c>
      <x:c r="E63" t="str">
        <x:v>FY2025 10-K</x:v>
      </x:c>
    </x:row>
    <x:row r="64">
      <x:c r="A64" t="str">
        <x:v>Effect of FX on cash, cash equivalents, and restricted cash</x:v>
      </x:c>
      <x:c r="B64" s="31" t="n">
        <x:v>152</x:v>
      </x:c>
      <x:c r="C64" s="31" t="n">
        <x:v>-237</x:v>
      </x:c>
      <x:c r="D64" s="31" t="n">
        <x:v>655</x:v>
      </x:c>
      <x:c r="E64" t="str">
        <x:v>FY2025 10-K</x:v>
      </x:c>
    </x:row>
    <x:row r="65">
      <x:c r="A65" t="str">
        <x:v>Net increase in cash, cash equivalents, and restricted cash</x:v>
      </x:c>
      <x:c r="B65" s="31" t="n">
        <x:v>564</x:v>
      </x:c>
      <x:c r="C65" s="31" t="n">
        <x:v>93</x:v>
      </x:c>
      <x:c r="D65" s="31" t="n">
        <x:v>726</x:v>
      </x:c>
      <x:c r="E65" t="str">
        <x:v>FY2025 10-K</x:v>
      </x:c>
    </x:row>
    <x:row r="66">
      <x:c r="A66" t="str">
        <x:v>Beginning cash, cash equivalents, and restricted cash</x:v>
      </x:c>
      <x:c r="B66" s="31" t="n">
        <x:v>12103</x:v>
      </x:c>
      <x:c r="C66" s="31" t="n">
        <x:v>12667</x:v>
      </x:c>
      <x:c r="D66" s="31" t="n">
        <x:v>12760</x:v>
      </x:c>
      <x:c r="E66" t="str">
        <x:v>FY2025 10-K</x:v>
      </x:c>
    </x:row>
    <x:row r="67">
      <x:c r="A67" t="str">
        <x:v>Ending cash, cash equivalents, and restricted cash</x:v>
      </x:c>
      <x:c r="B67" s="31" t="n">
        <x:v>12667</x:v>
      </x:c>
      <x:c r="C67" s="31" t="n">
        <x:v>12760</x:v>
      </x:c>
      <x:c r="D67" s="31" t="n">
        <x:v>13486</x:v>
      </x:c>
      <x:c r="E67" t="str">
        <x:v>FY2025 10-K</x:v>
      </x:c>
    </x:row>
    <x:row r="68">
      <x:c r="A68" t="str">
        <x:v>Purchases of property and equipment / capex</x:v>
      </x:c>
      <x:c r="B68" s="31" t="n">
        <x:v>-47</x:v>
      </x:c>
      <x:c r="C68" s="31" t="n">
        <x:v>-34</x:v>
      </x:c>
      <x:c r="D68" s="31" t="n">
        <x:v>-33</x:v>
      </x:c>
      <x:c r="E68" t="str">
        <x:v>FY2024 / FY2025 10-K FCF reconciliation</x:v>
      </x:c>
    </x:row>
    <x:row r="69">
      <x:c r="A69" t="str">
        <x:v>Free cash flow</x:v>
      </x:c>
      <x:c r="B69" s="34" t="n">
        <x:f>B52+B66</x:f>
        <x:v>12683</x:v>
      </x:c>
      <x:c r="C69" s="34" t="n">
        <x:f>C52+C66</x:f>
        <x:v>12563</x:v>
      </x:c>
      <x:c r="D69" s="34" t="n">
        <x:f>D52+D66</x:f>
        <x:v>12878</x:v>
      </x:c>
      <x:c r="E69" t="str">
        <x:v>CFO + capex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4" hidden="0" customWidth="1"/>
    <x:col min="3" max="3" width="14" hidden="0" customWidth="1"/>
    <x:col min="4" max="4" width="14" hidden="0" customWidth="1"/>
    <x:col min="5" max="5" width="56" hidden="0" customWidth="1"/>
  </x:cols>
  <x:sheetData>
    <x:row r="1" ht="30" customHeight="1">
      <x:c r="A1" s="86" t="str">
        <x:v>Operating Drivers &amp; KPI Detail</x:v>
      </x:c>
      <x:c r="B1" s="86" t="str"/>
      <x:c r="C1" s="86" t="str"/>
      <x:c r="D1" s="86" t="str"/>
      <x:c r="E1" s="86" t="str"/>
      <x:c r="F1" s="82" t="str"/>
      <x:c r="G1" s="82" t="str"/>
      <x:c r="H1" s="82" t="str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ht="24" customHeight="1">
      <x:c r="A2" s="10" t="str">
        <x:v>$ in millions except Nights / Seats Booked in millions. Historical actuals from EDGAR.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24" t="str">
        <x:v>Metric</x:v>
      </x:c>
      <x:c r="B4" s="24" t="str">
        <x:v>2023A</x:v>
      </x:c>
      <x:c r="C4" s="24" t="str">
        <x:v>2024A</x:v>
      </x:c>
      <x:c r="D4" s="24" t="str">
        <x:v>2025A</x:v>
      </x:c>
      <x:c r="E4" s="24" t="str">
        <x:v>Source / note</x:v>
      </x:c>
    </x:row>
    <x:row r="5">
      <x:c r="A5" t="str">
        <x:v>Nights and Seats / Experiences Booked</x:v>
      </x:c>
      <x:c r="B5" s="31" t="n">
        <x:v>448</x:v>
      </x:c>
      <x:c r="C5" s="31" t="n">
        <x:v>492</x:v>
      </x:c>
      <x:c r="D5" s="31" t="n">
        <x:v>533</x:v>
      </x:c>
      <x:c r="E5" t="str">
        <x:v>FY2024 10-K for 2023/2024; FY2025 10-K for 2024/2025</x:v>
      </x:c>
    </x:row>
    <x:row r="6">
      <x:c r="A6" t="str">
        <x:v>Gross Booking Value</x:v>
      </x:c>
      <x:c r="B6" s="31" t="n">
        <x:v>73252</x:v>
      </x:c>
      <x:c r="C6" s="31" t="n">
        <x:v>81784</x:v>
      </x:c>
      <x:c r="D6" s="31" t="n">
        <x:v>91273</x:v>
      </x:c>
      <x:c r="E6" t="str">
        <x:v>FY2024 / FY2025 10-K</x:v>
      </x:c>
    </x:row>
    <x:row r="7">
      <x:c r="A7" t="str">
        <x:v>Revenue</x:v>
      </x:c>
      <x:c r="B7" s="31" t="n">
        <x:v>9917</x:v>
      </x:c>
      <x:c r="C7" s="31" t="n">
        <x:v>11102</x:v>
      </x:c>
      <x:c r="D7" s="31" t="n">
        <x:v>12241</x:v>
      </x:c>
      <x:c r="E7" t="str">
        <x:v>FY2025 10-K</x:v>
      </x:c>
    </x:row>
    <x:row r="8">
      <x:c r="A8" t="str">
        <x:v>GBV / Nights &amp; Seats Booked</x:v>
      </x:c>
      <x:c r="B8" s="34" t="n">
        <x:f>B6/B5</x:f>
        <x:v>163.50892857142858</x:v>
      </x:c>
      <x:c r="C8" s="34" t="n">
        <x:f>C6/C5</x:f>
        <x:v>166.22764227642276</x:v>
      </x:c>
      <x:c r="D8" s="34" t="n">
        <x:f>D6/D5</x:f>
        <x:v>171.2439024390244</x:v>
      </x:c>
      <x:c r="E8" t="str">
        <x:v>Formula</x:v>
      </x:c>
    </x:row>
    <x:row r="9">
      <x:c r="A9" t="str">
        <x:v>Revenue / GBV</x:v>
      </x:c>
      <x:c r="B9" s="42" t="n">
        <x:f>B7/B6</x:f>
        <x:v>0.13538196909299405</x:v>
      </x:c>
      <x:c r="C9" s="42" t="n">
        <x:f>C7/C6</x:f>
        <x:v>0.1357478235351658</x:v>
      </x:c>
      <x:c r="D9" s="42" t="n">
        <x:f>D7/D6</x:f>
        <x:v>0.1341141410932039</x:v>
      </x:c>
      <x:c r="E9" t="str">
        <x:v>Formula</x:v>
      </x:c>
    </x:row>
    <x:row r="10">
      <x:c r="A10" t="str">
        <x:v>Revenue / Night &amp; Seat</x:v>
      </x:c>
      <x:c r="B10" s="34" t="n">
        <x:f>B7/B5</x:f>
        <x:v>22.136160714285715</x:v>
      </x:c>
      <x:c r="C10" s="34" t="n">
        <x:f>C7/C5</x:f>
        <x:v>22.565040650406505</x:v>
      </x:c>
      <x:c r="D10" s="34" t="n">
        <x:f>D7/D5</x:f>
        <x:v>22.96622889305816</x:v>
      </x:c>
      <x:c r="E10" t="str">
        <x:v>Formula</x:v>
      </x:c>
    </x:row>
    <x:row r="11">
      <x:c r="A11" t="str">
        <x:v>Adjusted EBITDA</x:v>
      </x:c>
      <x:c r="B11" s="31" t="n">
        <x:v>3653</x:v>
      </x:c>
      <x:c r="C11" s="31" t="n">
        <x:v>4041</x:v>
      </x:c>
      <x:c r="D11" s="31" t="n">
        <x:v>4297</x:v>
      </x:c>
      <x:c r="E11" t="str">
        <x:v>FY2024 / FY2025 10-K Adjusted EBITDA reconciliation</x:v>
      </x:c>
    </x:row>
    <x:row r="12">
      <x:c r="A12" t="str">
        <x:v>Adjusted EBITDA margin</x:v>
      </x:c>
      <x:c r="B12" s="42" t="n">
        <x:f>B11/B7</x:f>
        <x:v>0.3683573661389533</x:v>
      </x:c>
      <x:c r="C12" s="42" t="n">
        <x:f>C11/C7</x:f>
        <x:v>0.3639884705458476</x:v>
      </x:c>
      <x:c r="D12" s="42" t="n">
        <x:f>D11/D7</x:f>
        <x:v>0.3510334123029164</x:v>
      </x:c>
      <x:c r="E12" t="str">
        <x:v>Formula</x:v>
      </x:c>
    </x:row>
    <x:row r="13">
      <x:c r="A13" t="str">
        <x:v>Free Cash Flow</x:v>
      </x:c>
      <x:c r="B13" s="31" t="n">
        <x:v>3837</x:v>
      </x:c>
      <x:c r="C13" s="31" t="n">
        <x:v>4484</x:v>
      </x:c>
      <x:c r="D13" s="31" t="n">
        <x:v>4613</x:v>
      </x:c>
      <x:c r="E13" t="str">
        <x:v>FY2024 / FY2025 10-K FCF reconciliation</x:v>
      </x:c>
    </x:row>
    <x:row r="14">
      <x:c r="A14" t="str">
        <x:v>Free Cash Flow margin</x:v>
      </x:c>
      <x:c r="B14" s="42" t="n">
        <x:f>B13/B7</x:f>
        <x:v>0.3869113643238883</x:v>
      </x:c>
      <x:c r="C14" s="42" t="n">
        <x:f>C13/C7</x:f>
        <x:v>0.4038911907764367</x:v>
      </x:c>
      <x:c r="D14" s="42" t="n">
        <x:f>D13/D7</x:f>
        <x:v>0.3768482967077853</x:v>
      </x:c>
      <x:c r="E14" t="str">
        <x:v>Formula</x:v>
      </x:c>
    </x:row>
    <x:row r="15">
      <x:c r="B15" s="31"/>
      <x:c r="C15" s="31"/>
      <x:c r="D15" s="31"/>
    </x:row>
    <x:row r="16">
      <x:c r="A16" s="19" t="str">
        <x:v>Regional Revenue</x:v>
      </x:c>
      <x:c r="B16" s="39" t="str">
        <x:v>2023A</x:v>
      </x:c>
      <x:c r="C16" s="39" t="str">
        <x:v>2024A</x:v>
      </x:c>
      <x:c r="D16" s="39" t="str">
        <x:v>2025A</x:v>
      </x:c>
      <x:c r="E16" s="19" t="str">
        <x:v>Source / note</x:v>
      </x:c>
    </x:row>
    <x:row r="17">
      <x:c r="A17" t="str">
        <x:v>North America</x:v>
      </x:c>
      <x:c r="B17" s="31" t="n">
        <x:v>4638</x:v>
      </x:c>
      <x:c r="C17" s="31" t="n">
        <x:v>5006</x:v>
      </x:c>
      <x:c r="D17" s="31" t="n">
        <x:v>5196</x:v>
      </x:c>
      <x:c r="E17" t="str">
        <x:v>FY2024 / FY2025 10-K</x:v>
      </x:c>
    </x:row>
    <x:row r="18">
      <x:c r="A18" t="str">
        <x:v>EMEA</x:v>
      </x:c>
      <x:c r="B18" s="31" t="n">
        <x:v>3615</x:v>
      </x:c>
      <x:c r="C18" s="31" t="n">
        <x:v>4135</x:v>
      </x:c>
      <x:c r="D18" s="31" t="n">
        <x:v>4729</x:v>
      </x:c>
      <x:c r="E18" t="str">
        <x:v>FY2024 / FY2025 10-K</x:v>
      </x:c>
    </x:row>
    <x:row r="19">
      <x:c r="A19" t="str">
        <x:v>Latin America</x:v>
      </x:c>
      <x:c r="B19" s="31" t="n">
        <x:v>824</x:v>
      </x:c>
      <x:c r="C19" s="31" t="n">
        <x:v>969</x:v>
      </x:c>
      <x:c r="D19" s="31" t="n">
        <x:v>1160</x:v>
      </x:c>
      <x:c r="E19" t="str">
        <x:v>FY2024 / FY2025 10-K</x:v>
      </x:c>
    </x:row>
    <x:row r="20">
      <x:c r="A20" t="str">
        <x:v>Asia Pacific</x:v>
      </x:c>
      <x:c r="B20" s="31" t="n">
        <x:v>840</x:v>
      </x:c>
      <x:c r="C20" s="31" t="n">
        <x:v>992</x:v>
      </x:c>
      <x:c r="D20" s="31" t="n">
        <x:v>1156</x:v>
      </x:c>
      <x:c r="E20" t="str">
        <x:v>FY2024 / FY2025 10-K</x:v>
      </x:c>
    </x:row>
    <x:row r="21">
      <x:c r="A21" t="str">
        <x:v>Total</x:v>
      </x:c>
      <x:c r="B21" s="34" t="n">
        <x:f>SUM(B17:B20)</x:f>
        <x:v>9917</x:v>
      </x:c>
      <x:c r="C21" s="34" t="n">
        <x:f>SUM(C17:C20)</x:f>
        <x:v>11102</x:v>
      </x:c>
      <x:c r="D21" s="34" t="n">
        <x:f>SUM(D17:D20)</x:f>
        <x:v>12241</x:v>
      </x:c>
      <x:c r="E21" t="str">
        <x:v>Formula tie-out</x:v>
      </x:c>
    </x:row>
    <x:row r="22">
      <x:c r="B22" s="31"/>
      <x:c r="C22" s="31"/>
      <x:c r="D22" s="31"/>
    </x:row>
    <x:row r="23">
      <x:c r="A23" s="19" t="str">
        <x:v>Regional GBV</x:v>
      </x:c>
      <x:c r="B23" s="39" t="str">
        <x:v>2023A</x:v>
      </x:c>
      <x:c r="C23" s="39" t="str">
        <x:v>2024A</x:v>
      </x:c>
      <x:c r="D23" s="39" t="str">
        <x:v>2025A</x:v>
      </x:c>
      <x:c r="E23" s="19" t="str">
        <x:v>Source / note</x:v>
      </x:c>
    </x:row>
    <x:row r="24">
      <x:c r="A24" t="str">
        <x:v>North America</x:v>
      </x:c>
      <x:c r="B24" s="31" t="n">
        <x:v>34941</x:v>
      </x:c>
      <x:c r="C24" s="31" t="n">
        <x:v>37816</x:v>
      </x:c>
      <x:c r="D24" s="31" t="n">
        <x:v>40295</x:v>
      </x:c>
      <x:c r="E24" t="str">
        <x:v>FY2024 / FY2025 10-K</x:v>
      </x:c>
    </x:row>
    <x:row r="25">
      <x:c r="A25" t="str">
        <x:v>EMEA</x:v>
      </x:c>
      <x:c r="B25" s="31" t="n">
        <x:v>26241</x:v>
      </x:c>
      <x:c r="C25" s="31" t="n">
        <x:v>29750</x:v>
      </x:c>
      <x:c r="D25" s="31" t="n">
        <x:v>34162</x:v>
      </x:c>
      <x:c r="E25" t="str">
        <x:v>FY2024 / FY2025 10-K</x:v>
      </x:c>
    </x:row>
    <x:row r="26">
      <x:c r="A26" t="str">
        <x:v>Latin America</x:v>
      </x:c>
      <x:c r="B26" s="31" t="n">
        <x:v>6054</x:v>
      </x:c>
      <x:c r="C26" s="31" t="n">
        <x:v>7092</x:v>
      </x:c>
      <x:c r="D26" s="31" t="n">
        <x:v>8542</x:v>
      </x:c>
      <x:c r="E26" t="str">
        <x:v>FY2024 / FY2025 10-K</x:v>
      </x:c>
    </x:row>
    <x:row r="27">
      <x:c r="A27" t="str">
        <x:v>Asia Pacific</x:v>
      </x:c>
      <x:c r="B27" s="31" t="n">
        <x:v>6016</x:v>
      </x:c>
      <x:c r="C27" s="31" t="n">
        <x:v>7126</x:v>
      </x:c>
      <x:c r="D27" s="31" t="n">
        <x:v>8274</x:v>
      </x:c>
      <x:c r="E27" t="str">
        <x:v>FY2024 / FY2025 10-K</x:v>
      </x:c>
    </x:row>
    <x:row r="28">
      <x:c r="A28" t="str">
        <x:v>Total</x:v>
      </x:c>
      <x:c r="B28" s="34" t="n">
        <x:f>SUM(B24:B27)</x:f>
        <x:v>73252</x:v>
      </x:c>
      <x:c r="C28" s="34" t="n">
        <x:f>SUM(C24:C27)</x:f>
        <x:v>81784</x:v>
      </x:c>
      <x:c r="D28" s="34" t="n">
        <x:f>SUM(D24:D27)</x:f>
        <x:v>91273</x:v>
      </x:c>
      <x:c r="E28" t="str">
        <x:v>Formula tie-out</x:v>
      </x:c>
    </x:row>
    <x:row r="29">
      <x:c r="B29" s="31"/>
      <x:c r="C29" s="31"/>
      <x:c r="D29" s="31"/>
    </x:row>
    <x:row r="30">
      <x:c r="A30" s="19" t="str">
        <x:v>Regional Nights &amp; Seats / Experiences Booked</x:v>
      </x:c>
      <x:c r="B30" s="39" t="str">
        <x:v>2023A</x:v>
      </x:c>
      <x:c r="C30" s="39" t="str">
        <x:v>2024A</x:v>
      </x:c>
      <x:c r="D30" s="39" t="str">
        <x:v>2025A</x:v>
      </x:c>
      <x:c r="E30" s="19" t="str">
        <x:v>Source / note</x:v>
      </x:c>
    </x:row>
    <x:row r="31">
      <x:c r="A31" t="str">
        <x:v>North America</x:v>
      </x:c>
      <x:c r="B31" s="31" t="n">
        <x:v>146</x:v>
      </x:c>
      <x:c r="C31" s="31" t="n">
        <x:v>154</x:v>
      </x:c>
      <x:c r="D31" s="31" t="n">
        <x:v>158</x:v>
      </x:c>
      <x:c r="E31" t="str">
        <x:v>FY2024 / FY2025 10-K</x:v>
      </x:c>
    </x:row>
    <x:row r="32">
      <x:c r="A32" t="str">
        <x:v>EMEA</x:v>
      </x:c>
      <x:c r="B32" s="31" t="n">
        <x:v>187</x:v>
      </x:c>
      <x:c r="C32" s="31" t="n">
        <x:v>201</x:v>
      </x:c>
      <x:c r="D32" s="31" t="n">
        <x:v>215</x:v>
      </x:c>
      <x:c r="E32" t="str">
        <x:v>FY2024 / FY2025 10-K</x:v>
      </x:c>
    </x:row>
    <x:row r="33">
      <x:c r="A33" t="str">
        <x:v>Latin America</x:v>
      </x:c>
      <x:c r="B33" s="31" t="n">
        <x:v>64</x:v>
      </x:c>
      <x:c r="C33" s="31" t="n">
        <x:v>76</x:v>
      </x:c>
      <x:c r="D33" s="31" t="n">
        <x:v>90</x:v>
      </x:c>
      <x:c r="E33" t="str">
        <x:v>FY2024 / FY2025 10-K</x:v>
      </x:c>
    </x:row>
    <x:row r="34">
      <x:c r="A34" t="str">
        <x:v>Asia Pacific</x:v>
      </x:c>
      <x:c r="B34" s="31" t="n">
        <x:v>51</x:v>
      </x:c>
      <x:c r="C34" s="31" t="n">
        <x:v>61</x:v>
      </x:c>
      <x:c r="D34" s="31" t="n">
        <x:v>70</x:v>
      </x:c>
      <x:c r="E34" t="str">
        <x:v>FY2024 / FY2025 10-K</x:v>
      </x:c>
    </x:row>
    <x:row r="35">
      <x:c r="A35" t="str">
        <x:v>Total</x:v>
      </x:c>
      <x:c r="B35" s="34" t="n">
        <x:f>SUM(B31:B34)</x:f>
        <x:v>448</x:v>
      </x:c>
      <x:c r="C35" s="34" t="n">
        <x:f>SUM(C31:C34)</x:f>
        <x:v>492</x:v>
      </x:c>
      <x:c r="D35" s="34" t="n">
        <x:f>SUM(D31:D34)</x:f>
        <x:v>533</x:v>
      </x:c>
      <x:c r="E35" t="str">
        <x:v>Formula tie-out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a93363be1ad477a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52" hidden="0" customWidth="1"/>
  </x:cols>
  <x:sheetData>
    <x:row r="1" ht="30" customHeight="1">
      <x:c r="A1" s="82" t="str">
        <x:v>Forecast Assumptions</x:v>
      </x:c>
      <x:c r="B1" s="82" t="str"/>
      <x:c r="C1" s="82" t="str"/>
      <x:c r="D1" s="82" t="str"/>
      <x:c r="E1" s="82" t="str"/>
      <x:c r="F1" s="82" t="str"/>
      <x:c r="G1" s="82" t="str"/>
      <x:c r="H1" s="82" t="str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ht="24" customHeight="1">
      <x:c r="A2" s="10" t="str">
        <x:v>Yellow/blue cells are editable forecast assumptions. These are not historical facts.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24" t="str">
        <x:v>Assumption</x:v>
      </x:c>
      <x:c r="B4" s="24" t="str">
        <x:v>Value</x:v>
      </x:c>
      <x:c r="C4" s="24" t="str">
        <x:v>Comment</x:v>
      </x:c>
    </x:row>
    <x:row r="5">
      <x:c r="A5" t="str">
        <x:v>Revenue growth 2026E</x:v>
      </x:c>
      <x:c r="B5" s="46" t="n">
        <x:v>0.085</x:v>
      </x:c>
      <x:c r="C5" t="str">
        <x:v>Assumption</x:v>
      </x:c>
    </x:row>
    <x:row r="6">
      <x:c r="A6" t="str">
        <x:v>Revenue growth 2027E</x:v>
      </x:c>
      <x:c r="B6" s="46" t="n">
        <x:v>0.08</x:v>
      </x:c>
      <x:c r="C6" t="str">
        <x:v>Assumption</x:v>
      </x:c>
    </x:row>
    <x:row r="7">
      <x:c r="A7" t="str">
        <x:v>Revenue growth 2028E</x:v>
      </x:c>
      <x:c r="B7" s="46" t="n">
        <x:v>0.075</x:v>
      </x:c>
      <x:c r="C7" t="str">
        <x:v>Assumption</x:v>
      </x:c>
    </x:row>
    <x:row r="8">
      <x:c r="A8" t="str">
        <x:v>Revenue growth 2029E</x:v>
      </x:c>
      <x:c r="B8" s="46" t="n">
        <x:v>0.07</x:v>
      </x:c>
      <x:c r="C8" t="str">
        <x:v>Assumption</x:v>
      </x:c>
    </x:row>
    <x:row r="9">
      <x:c r="A9" t="str">
        <x:v>Revenue growth 2030E</x:v>
      </x:c>
      <x:c r="B9" s="46" t="n">
        <x:v>0.065</x:v>
      </x:c>
      <x:c r="C9" t="str">
        <x:v>Assumption</x:v>
      </x:c>
    </x:row>
    <x:row r="10">
      <x:c r="A10" t="str">
        <x:v>Cost of revenue % revenue</x:v>
      </x:c>
      <x:c r="B10" s="46" t="n">
        <x:v>0.17</x:v>
      </x:c>
      <x:c r="C10" t="str">
        <x:v>Assumption; held near 2025A actual</x:v>
      </x:c>
    </x:row>
    <x:row r="11">
      <x:c r="A11" t="str">
        <x:v>Operations &amp; support % revenue</x:v>
      </x:c>
      <x:c r="B11" s="46" t="n">
        <x:v>0.105</x:v>
      </x:c>
      <x:c r="C11" t="str">
        <x:v>Assumption</x:v>
      </x:c>
    </x:row>
    <x:row r="12">
      <x:c r="A12" t="str">
        <x:v>Product development % revenue</x:v>
      </x:c>
      <x:c r="B12" s="46" t="n">
        <x:v>0.185</x:v>
      </x:c>
      <x:c r="C12" t="str">
        <x:v>Assumption; gradual scaling</x:v>
      </x:c>
    </x:row>
    <x:row r="13">
      <x:c r="A13" t="str">
        <x:v>Sales &amp; marketing % revenue</x:v>
      </x:c>
      <x:c r="B13" s="46" t="n">
        <x:v>0.2</x:v>
      </x:c>
      <x:c r="C13" t="str">
        <x:v>Assumption</x:v>
      </x:c>
    </x:row>
    <x:row r="14">
      <x:c r="A14" t="str">
        <x:v>G&amp;A % revenue</x:v>
      </x:c>
      <x:c r="B14" s="46" t="n">
        <x:v>0.105</x:v>
      </x:c>
      <x:c r="C14" t="str">
        <x:v>Assumption</x:v>
      </x:c>
    </x:row>
    <x:row r="15">
      <x:c r="A15" t="str">
        <x:v>D&amp;A % revenue</x:v>
      </x:c>
      <x:c r="B15" s="46" t="n">
        <x:v>0.0075</x:v>
      </x:c>
      <x:c r="C15" t="str">
        <x:v>Assumption, informed by adjusted EBITDA reconciliation</x:v>
      </x:c>
    </x:row>
    <x:row r="16">
      <x:c r="A16" t="str">
        <x:v>SBC % revenue</x:v>
      </x:c>
      <x:c r="B16" s="46" t="n">
        <x:v>0.12</x:v>
      </x:c>
      <x:c r="C16" t="str">
        <x:v>Assumption; model treats SBC as non-cash add-back for FCF</x:v>
      </x:c>
    </x:row>
    <x:row r="17">
      <x:c r="A17" t="str">
        <x:v>Tax rate</x:v>
      </x:c>
      <x:c r="B17" s="46" t="n">
        <x:v>0.21</x:v>
      </x:c>
      <x:c r="C17" t="str">
        <x:v>Assumption</x:v>
      </x:c>
    </x:row>
    <x:row r="18">
      <x:c r="A18" t="str">
        <x:v>Capex % revenue</x:v>
      </x:c>
      <x:c r="B18" s="46" t="n">
        <x:v>0.003</x:v>
      </x:c>
      <x:c r="C18" t="str">
        <x:v>Assumption; Airbnb is asset-light</x:v>
      </x:c>
    </x:row>
    <x:row r="19">
      <x:c r="A19" t="str">
        <x:v>NWC investment % incremental revenue</x:v>
      </x:c>
      <x:c r="B19" s="46" t="n">
        <x:v>0.01</x:v>
      </x:c>
      <x:c r="C19" t="str">
        <x:v>Assumption</x:v>
      </x:c>
    </x:row>
    <x:row r="20">
      <x:c r="A20" t="str">
        <x:v>WACC</x:v>
      </x:c>
      <x:c r="B20" s="46" t="n">
        <x:v>0.095</x:v>
      </x:c>
      <x:c r="C20" t="str">
        <x:v>Assumption</x:v>
      </x:c>
    </x:row>
    <x:row r="21">
      <x:c r="A21" t="str">
        <x:v>Terminal growth</x:v>
      </x:c>
      <x:c r="B21" s="46" t="n">
        <x:v>0.03</x:v>
      </x:c>
      <x:c r="C21" t="str">
        <x:v>Assumption</x:v>
      </x:c>
    </x:row>
    <x:row r="22">
      <x:c r="A22" t="str">
        <x:v>Diluted shares / buyback decline p.a.</x:v>
      </x:c>
      <x:c r="B22" s="46" t="n">
        <x:v>-0.015</x:v>
      </x:c>
      <x:c r="C22" t="str">
        <x:v>Assumption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0" customHeight="1">
      <x:c r="A1" s="86" t="str">
        <x:v>Forecast Model</x:v>
      </x:c>
      <x:c r="B1" s="86" t="str"/>
      <x:c r="C1" s="86" t="str"/>
      <x:c r="D1" s="86" t="str"/>
      <x:c r="E1" s="86" t="str"/>
      <x:c r="F1" s="86" t="str"/>
      <x:c r="G1" s="86" t="str"/>
      <x:c r="H1" s="86" t="str"/>
      <x:c r="I1" s="88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ht="24" customHeight="1">
      <x:c r="A2" s="10" t="str">
        <x:v>$ in millions except per-share data. Historical actuals link from Historical Financials; forecast years are formulas driven by Inputs.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24" t="str"/>
      <x:c r="B4" s="24" t="str">
        <x:v>2023A</x:v>
      </x:c>
      <x:c r="C4" s="24" t="str">
        <x:v>2024A</x:v>
      </x:c>
      <x:c r="D4" s="24" t="str">
        <x:v>2025A</x:v>
      </x:c>
      <x:c r="E4" s="24" t="str">
        <x:v>2026E</x:v>
      </x:c>
      <x:c r="F4" s="24" t="str">
        <x:v>2027E</x:v>
      </x:c>
      <x:c r="G4" s="24" t="str">
        <x:v>2028E</x:v>
      </x:c>
      <x:c r="H4" s="24" t="str">
        <x:v>2029E</x:v>
      </x:c>
      <x:c r="I4" s="24" t="str">
        <x:v>2030E</x:v>
      </x:c>
    </x:row>
    <x:row r="6">
      <x:c r="A6" s="19" t="str">
        <x:v>Income Statement</x:v>
      </x:c>
      <x:c r="B6" s="19" t="str"/>
      <x:c r="C6" s="19" t="str"/>
      <x:c r="D6" s="19" t="str"/>
      <x:c r="E6" s="19" t="str"/>
      <x:c r="F6" s="19" t="str"/>
      <x:c r="G6" s="19" t="str"/>
      <x:c r="H6" s="19" t="str"/>
      <x:c r="I6" s="19" t="str"/>
    </x:row>
    <x:row r="7">
      <x:c r="A7" t="str">
        <x:v>Revenue</x:v>
      </x:c>
      <x:c r="B7" s="52" t="n">
        <x:f>'Historical Financials'!B7</x:f>
        <x:v>9917</x:v>
      </x:c>
      <x:c r="C7" s="52" t="n">
        <x:f>'Historical Financials'!C7</x:f>
        <x:v>11102</x:v>
      </x:c>
      <x:c r="D7" s="52" t="n">
        <x:f>'Historical Financials'!D7</x:f>
        <x:v>12241</x:v>
      </x:c>
      <x:c r="E7" s="34" t="n">
        <x:f>D7*(1+Inputs!$B$5)</x:f>
        <x:v>13281.484999999999</x:v>
      </x:c>
      <x:c r="F7" s="34" t="n">
        <x:f>E7*(1+Inputs!$B$6)</x:f>
        <x:v>14344.0038</x:v>
      </x:c>
      <x:c r="G7" s="34" t="n">
        <x:f>F7*(1+Inputs!$B$7)</x:f>
        <x:v>15419.804085</x:v>
      </x:c>
      <x:c r="H7" s="34" t="n">
        <x:f>G7*(1+Inputs!$B$8)</x:f>
        <x:v>16499.19037095</x:v>
      </x:c>
      <x:c r="I7" s="34" t="n">
        <x:f>H7*(1+Inputs!$B$9)</x:f>
        <x:v>17571.63774506175</x:v>
      </x:c>
    </x:row>
    <x:row r="8">
      <x:c r="A8" t="str">
        <x:v>Revenue growth</x:v>
      </x:c>
      <x:c r="B8" s="52" t="str"/>
      <x:c r="C8" s="64" t="n">
        <x:f>C7/B7-1</x:f>
        <x:v>0.11949178178884745</x:v>
      </x:c>
      <x:c r="D8" s="64" t="n">
        <x:f>D7/C7-1</x:f>
        <x:v>0.10259412718429117</x:v>
      </x:c>
      <x:c r="E8" s="42" t="n">
        <x:f>E7/D7-1</x:f>
        <x:v>0.08499999999999996</x:v>
      </x:c>
      <x:c r="F8" s="42" t="n">
        <x:f>F7/E7-1</x:f>
        <x:v>0.08000000000000007</x:v>
      </x:c>
      <x:c r="G8" s="42" t="n">
        <x:f>G7/F7-1</x:f>
        <x:v>0.07499999999999996</x:v>
      </x:c>
      <x:c r="H8" s="42" t="n">
        <x:f>H7/G7-1</x:f>
        <x:v>0.07000000000000006</x:v>
      </x:c>
      <x:c r="I8" s="42" t="n">
        <x:f>I7/H7-1</x:f>
        <x:v>0.06499999999999995</x:v>
      </x:c>
    </x:row>
    <x:row r="9">
      <x:c r="A9" t="str">
        <x:v>Cost of revenue</x:v>
      </x:c>
      <x:c r="B9" s="52" t="n">
        <x:f>'Historical Financials'!B8</x:f>
        <x:v>1703</x:v>
      </x:c>
      <x:c r="C9" s="52" t="n">
        <x:f>'Historical Financials'!C8</x:f>
        <x:v>1878</x:v>
      </x:c>
      <x:c r="D9" s="52" t="n">
        <x:f>'Historical Financials'!D8</x:f>
        <x:v>2086</x:v>
      </x:c>
      <x:c r="E9" s="34" t="n">
        <x:f>E7*Inputs!$B$10</x:f>
        <x:v>2257.85245</x:v>
      </x:c>
      <x:c r="F9" s="34" t="n">
        <x:f>F7*Inputs!$B$10</x:f>
        <x:v>2438.4806460000004</x:v>
      </x:c>
      <x:c r="G9" s="34" t="n">
        <x:f>G7*Inputs!$B$10</x:f>
        <x:v>2621.36669445</x:v>
      </x:c>
      <x:c r="H9" s="34" t="n">
        <x:f>H7*Inputs!$B$10</x:f>
        <x:v>2804.8623630615</x:v>
      </x:c>
      <x:c r="I9" s="34" t="n">
        <x:f>I7*Inputs!$B$10</x:f>
        <x:v>2987.178416660498</x:v>
      </x:c>
    </x:row>
    <x:row r="10">
      <x:c r="A10" t="str">
        <x:v>Operations and support</x:v>
      </x:c>
      <x:c r="B10" s="52" t="n">
        <x:f>'Historical Financials'!B9</x:f>
        <x:v>1186</x:v>
      </x:c>
      <x:c r="C10" s="52" t="n">
        <x:f>'Historical Financials'!C9</x:f>
        <x:v>1282</x:v>
      </x:c>
      <x:c r="D10" s="52" t="n">
        <x:f>'Historical Financials'!D9</x:f>
        <x:v>1327</x:v>
      </x:c>
      <x:c r="E10" s="34" t="n">
        <x:f>E7*Inputs!$B$11</x:f>
        <x:v>1394.555925</x:v>
      </x:c>
      <x:c r="F10" s="34" t="n">
        <x:f>F7*Inputs!$B$11</x:f>
        <x:v>1506.120399</x:v>
      </x:c>
      <x:c r="G10" s="34" t="n">
        <x:f>G7*Inputs!$B$11</x:f>
        <x:v>1619.079428925</x:v>
      </x:c>
      <x:c r="H10" s="34" t="n">
        <x:f>H7*Inputs!$B$11</x:f>
        <x:v>1732.41498894975</x:v>
      </x:c>
      <x:c r="I10" s="34" t="n">
        <x:f>I7*Inputs!$B$11</x:f>
        <x:v>1845.0219632314838</x:v>
      </x:c>
    </x:row>
    <x:row r="11">
      <x:c r="A11" t="str">
        <x:v>Product development</x:v>
      </x:c>
      <x:c r="B11" s="52" t="n">
        <x:f>'Historical Financials'!B10</x:f>
        <x:v>1722</x:v>
      </x:c>
      <x:c r="C11" s="52" t="n">
        <x:f>'Historical Financials'!C10</x:f>
        <x:v>2056</x:v>
      </x:c>
      <x:c r="D11" s="52" t="n">
        <x:f>'Historical Financials'!D10</x:f>
        <x:v>2354</x:v>
      </x:c>
      <x:c r="E11" s="34" t="n">
        <x:f>E7*Inputs!$B$12</x:f>
        <x:v>2457.074725</x:v>
      </x:c>
      <x:c r="F11" s="34" t="n">
        <x:f>F7*Inputs!$B$12</x:f>
        <x:v>2653.640703</x:v>
      </x:c>
      <x:c r="G11" s="34" t="n">
        <x:f>G7*Inputs!$B$12</x:f>
        <x:v>2852.663755725</x:v>
      </x:c>
      <x:c r="H11" s="34" t="n">
        <x:f>H7*Inputs!$B$12</x:f>
        <x:v>3052.35021862575</x:v>
      </x:c>
      <x:c r="I11" s="34" t="n">
        <x:f>I7*Inputs!$B$12</x:f>
        <x:v>3250.752982836424</x:v>
      </x:c>
    </x:row>
    <x:row r="12">
      <x:c r="A12" t="str">
        <x:v>Sales and marketing</x:v>
      </x:c>
      <x:c r="B12" s="52" t="n">
        <x:f>'Historical Financials'!B11</x:f>
        <x:v>1763</x:v>
      </x:c>
      <x:c r="C12" s="52" t="n">
        <x:f>'Historical Financials'!C11</x:f>
        <x:v>2148</x:v>
      </x:c>
      <x:c r="D12" s="52" t="n">
        <x:f>'Historical Financials'!D11</x:f>
        <x:v>2588</x:v>
      </x:c>
      <x:c r="E12" s="34" t="n">
        <x:f>E7*Inputs!$B$13</x:f>
        <x:v>2656.297</x:v>
      </x:c>
      <x:c r="F12" s="34" t="n">
        <x:f>F7*Inputs!$B$13</x:f>
        <x:v>2868.80076</x:v>
      </x:c>
      <x:c r="G12" s="34" t="n">
        <x:f>G7*Inputs!$B$13</x:f>
        <x:v>3083.960817</x:v>
      </x:c>
      <x:c r="H12" s="34" t="n">
        <x:f>H7*Inputs!$B$13</x:f>
        <x:v>3299.83807419</x:v>
      </x:c>
      <x:c r="I12" s="34" t="n">
        <x:f>I7*Inputs!$B$13</x:f>
        <x:v>3514.3275490123506</x:v>
      </x:c>
    </x:row>
    <x:row r="13">
      <x:c r="A13" t="str">
        <x:v>General and administrative</x:v>
      </x:c>
      <x:c r="B13" s="52" t="n">
        <x:f>'Historical Financials'!B12</x:f>
        <x:v>2025</x:v>
      </x:c>
      <x:c r="C13" s="52" t="n">
        <x:f>'Historical Financials'!C12</x:f>
        <x:v>1185</x:v>
      </x:c>
      <x:c r="D13" s="52" t="n">
        <x:f>'Historical Financials'!D12</x:f>
        <x:v>1342</x:v>
      </x:c>
      <x:c r="E13" s="34" t="n">
        <x:f>E7*Inputs!$B$14</x:f>
        <x:v>1394.555925</x:v>
      </x:c>
      <x:c r="F13" s="34" t="n">
        <x:f>F7*Inputs!$B$14</x:f>
        <x:v>1506.120399</x:v>
      </x:c>
      <x:c r="G13" s="34" t="n">
        <x:f>G7*Inputs!$B$14</x:f>
        <x:v>1619.079428925</x:v>
      </x:c>
      <x:c r="H13" s="34" t="n">
        <x:f>H7*Inputs!$B$14</x:f>
        <x:v>1732.41498894975</x:v>
      </x:c>
      <x:c r="I13" s="34" t="n">
        <x:f>I7*Inputs!$B$14</x:f>
        <x:v>1845.0219632314838</x:v>
      </x:c>
    </x:row>
    <x:row r="14">
      <x:c r="A14" t="str">
        <x:v>Total costs and expenses</x:v>
      </x:c>
      <x:c r="B14" s="52" t="n">
        <x:f>SUM(B9:B13)</x:f>
        <x:v>8399</x:v>
      </x:c>
      <x:c r="C14" s="52" t="n">
        <x:f>SUM(C9:C13)</x:f>
        <x:v>8549</x:v>
      </x:c>
      <x:c r="D14" s="52" t="n">
        <x:f>SUM(D9:D13)</x:f>
        <x:v>9697</x:v>
      </x:c>
      <x:c r="E14" s="34" t="n">
        <x:f>SUM(E9:E13)</x:f>
        <x:v>10160.336025</x:v>
      </x:c>
      <x:c r="F14" s="34" t="n">
        <x:f>SUM(F9:F13)</x:f>
        <x:v>10973.162907</x:v>
      </x:c>
      <x:c r="G14" s="34" t="n">
        <x:f>SUM(G9:G13)</x:f>
        <x:v>11796.150125025</x:v>
      </x:c>
      <x:c r="H14" s="34" t="n">
        <x:f>SUM(H9:H13)</x:f>
        <x:v>12621.88063377675</x:v>
      </x:c>
      <x:c r="I14" s="34" t="n">
        <x:f>SUM(I9:I13)</x:f>
        <x:v>13442.30287497224</x:v>
      </x:c>
    </x:row>
    <x:row r="15">
      <x:c r="A15" t="str">
        <x:v>Income from operations / EBIT</x:v>
      </x:c>
      <x:c r="B15" s="52" t="n">
        <x:f>'Historical Financials'!B14</x:f>
        <x:v>1518</x:v>
      </x:c>
      <x:c r="C15" s="52" t="n">
        <x:f>'Historical Financials'!C14</x:f>
        <x:v>2553</x:v>
      </x:c>
      <x:c r="D15" s="52" t="n">
        <x:f>'Historical Financials'!D14</x:f>
        <x:v>2544</x:v>
      </x:c>
      <x:c r="E15" s="34" t="n">
        <x:f>E7-E14</x:f>
        <x:v>3121.1489749999982</x:v>
      </x:c>
      <x:c r="F15" s="34" t="n">
        <x:f>F7-F14</x:f>
        <x:v>3370.8408930000005</x:v>
      </x:c>
      <x:c r="G15" s="34" t="n">
        <x:f>G7-G14</x:f>
        <x:v>3623.6539599749995</x:v>
      </x:c>
      <x:c r="H15" s="34" t="n">
        <x:f>H7-H14</x:f>
        <x:v>3877.309737173251</x:v>
      </x:c>
      <x:c r="I15" s="34" t="n">
        <x:f>I7-I14</x:f>
        <x:v>4129.334870089511</x:v>
      </x:c>
    </x:row>
    <x:row r="16">
      <x:c r="A16" t="str">
        <x:v>EBIT margin</x:v>
      </x:c>
      <x:c r="B16" s="64" t="n">
        <x:f>B15/B7</x:f>
        <x:v>0.1530704850257134</x:v>
      </x:c>
      <x:c r="C16" s="64" t="n">
        <x:f>C15/C7</x:f>
        <x:v>0.2299585660241398</x:v>
      </x:c>
      <x:c r="D16" s="64" t="n">
        <x:f>D15/D7</x:f>
        <x:v>0.20782615799362797</x:v>
      </x:c>
      <x:c r="E16" s="42" t="n">
        <x:f>E15/E7</x:f>
        <x:v>0.2349999999999999</x:v>
      </x:c>
      <x:c r="F16" s="42" t="n">
        <x:f>F15/F7</x:f>
        <x:v>0.23500000000000004</x:v>
      </x:c>
      <x:c r="G16" s="42" t="n">
        <x:f>G15/G7</x:f>
        <x:v>0.23499999999999996</x:v>
      </x:c>
      <x:c r="H16" s="42" t="n">
        <x:f>H15/H7</x:f>
        <x:v>0.23500000000000007</x:v>
      </x:c>
      <x:c r="I16" s="42" t="n">
        <x:f>I15/I7</x:f>
        <x:v>0.235</x:v>
      </x:c>
    </x:row>
    <x:row r="17">
      <x:c r="A17" t="str">
        <x:v>Net income</x:v>
      </x:c>
      <x:c r="B17" s="52" t="n">
        <x:f>'Historical Financials'!B19</x:f>
        <x:v>4792</x:v>
      </x:c>
      <x:c r="C17" s="52" t="n">
        <x:f>'Historical Financials'!C19</x:f>
        <x:v>2648</x:v>
      </x:c>
      <x:c r="D17" s="52" t="n">
        <x:f>'Historical Financials'!D19</x:f>
        <x:v>2511</x:v>
      </x:c>
      <x:c r="E17" s="34" t="n">
        <x:f>E15*(1-Inputs!$B$17)</x:f>
        <x:v>2465.707690249999</x:v>
      </x:c>
      <x:c r="F17" s="34" t="n">
        <x:f>F15*(1-Inputs!$B$17)</x:f>
        <x:v>2662.9643054700005</x:v>
      </x:c>
      <x:c r="G17" s="34" t="n">
        <x:f>G15*(1-Inputs!$B$17)</x:f>
        <x:v>2862.6866283802497</x:v>
      </x:c>
      <x:c r="H17" s="34" t="n">
        <x:f>H15*(1-Inputs!$B$17)</x:f>
        <x:v>3063.0746923668685</x:v>
      </x:c>
      <x:c r="I17" s="34" t="n">
        <x:f>I15*(1-Inputs!$B$17)</x:f>
        <x:v>3262.174547370714</x:v>
      </x:c>
    </x:row>
    <x:row r="18">
      <x:c r="A18" s="19" t="str">
        <x:v>Cash Flow / FCF</x:v>
      </x:c>
      <x:c r="B18" s="53" t="str"/>
      <x:c r="C18" s="53" t="str"/>
      <x:c r="D18" s="53" t="str"/>
      <x:c r="E18" s="60" t="str"/>
      <x:c r="F18" s="60" t="str"/>
      <x:c r="G18" s="60" t="str"/>
      <x:c r="H18" s="60" t="str"/>
      <x:c r="I18" s="60" t="str"/>
    </x:row>
    <x:row r="19">
      <x:c r="A19" t="str">
        <x:v>EBIT</x:v>
      </x:c>
      <x:c r="B19" s="52" t="n">
        <x:f>B15</x:f>
        <x:v>1518</x:v>
      </x:c>
      <x:c r="C19" s="52" t="n">
        <x:f>C15</x:f>
        <x:v>2553</x:v>
      </x:c>
      <x:c r="D19" s="52" t="n">
        <x:f>D15</x:f>
        <x:v>2544</x:v>
      </x:c>
      <x:c r="E19" s="34" t="n">
        <x:f>E15</x:f>
        <x:v>3121.1489749999982</x:v>
      </x:c>
      <x:c r="F19" s="34" t="n">
        <x:f>F15</x:f>
        <x:v>3370.8408930000005</x:v>
      </x:c>
      <x:c r="G19" s="34" t="n">
        <x:f>G15</x:f>
        <x:v>3623.6539599749995</x:v>
      </x:c>
      <x:c r="H19" s="34" t="n">
        <x:f>H15</x:f>
        <x:v>3877.309737173251</x:v>
      </x:c>
      <x:c r="I19" s="34" t="n">
        <x:f>I15</x:f>
        <x:v>4129.334870089511</x:v>
      </x:c>
    </x:row>
    <x:row r="20">
      <x:c r="A20" t="str">
        <x:v>Less: cash taxes on EBIT</x:v>
      </x:c>
      <x:c r="B20" s="52" t="str"/>
      <x:c r="C20" s="52" t="str"/>
      <x:c r="D20" s="52" t="str"/>
      <x:c r="E20" s="34" t="n">
        <x:f>-E19*Inputs!$B$17</x:f>
        <x:v>-655.4412847499996</x:v>
      </x:c>
      <x:c r="F20" s="34" t="n">
        <x:f>-F19*Inputs!$B$17</x:f>
        <x:v>-707.87658753</x:v>
      </x:c>
      <x:c r="G20" s="34" t="n">
        <x:f>-G19*Inputs!$B$17</x:f>
        <x:v>-760.9673315947499</x:v>
      </x:c>
      <x:c r="H20" s="34" t="n">
        <x:f>-H19*Inputs!$B$17</x:f>
        <x:v>-814.2350448063827</x:v>
      </x:c>
      <x:c r="I20" s="34" t="n">
        <x:f>-I19*Inputs!$B$17</x:f>
        <x:v>-867.1603227187974</x:v>
      </x:c>
    </x:row>
    <x:row r="21">
      <x:c r="A21" t="str">
        <x:v>NOPAT</x:v>
      </x:c>
      <x:c r="B21" s="52" t="str"/>
      <x:c r="C21" s="52" t="str"/>
      <x:c r="D21" s="52" t="str"/>
      <x:c r="E21" s="34" t="n">
        <x:f>E19+E20</x:f>
        <x:v>2465.7076902499984</x:v>
      </x:c>
      <x:c r="F21" s="34" t="n">
        <x:f>F19+F20</x:f>
        <x:v>2662.9643054700005</x:v>
      </x:c>
      <x:c r="G21" s="34" t="n">
        <x:f>G19+G20</x:f>
        <x:v>2862.6866283802497</x:v>
      </x:c>
      <x:c r="H21" s="34" t="n">
        <x:f>H19+H20</x:f>
        <x:v>3063.0746923668685</x:v>
      </x:c>
      <x:c r="I21" s="34" t="n">
        <x:f>I19+I20</x:f>
        <x:v>3262.1745473707138</x:v>
      </x:c>
    </x:row>
    <x:row r="22">
      <x:c r="A22" t="str">
        <x:v>Add: D&amp;A</x:v>
      </x:c>
      <x:c r="B22" s="52" t="str"/>
      <x:c r="C22" s="52" t="str"/>
      <x:c r="D22" s="52" t="str"/>
      <x:c r="E22" s="34" t="n">
        <x:f>E7*Inputs!$B$15</x:f>
        <x:v>99.61113749999998</x:v>
      </x:c>
      <x:c r="F22" s="34" t="n">
        <x:f>F7*Inputs!$B$15</x:f>
        <x:v>107.5800285</x:v>
      </x:c>
      <x:c r="G22" s="34" t="n">
        <x:f>G7*Inputs!$B$15</x:f>
        <x:v>115.64853063749999</x:v>
      </x:c>
      <x:c r="H22" s="34" t="n">
        <x:f>H7*Inputs!$B$15</x:f>
        <x:v>123.743927782125</x:v>
      </x:c>
      <x:c r="I22" s="34" t="n">
        <x:f>I7*Inputs!$B$15</x:f>
        <x:v>131.78728308796312</x:v>
      </x:c>
    </x:row>
    <x:row r="23">
      <x:c r="A23" t="str">
        <x:v>Less: capex</x:v>
      </x:c>
      <x:c r="B23" s="52" t="n">
        <x:f>'Historical Financials'!B66</x:f>
        <x:v>12103</x:v>
      </x:c>
      <x:c r="C23" s="52" t="n">
        <x:f>'Historical Financials'!C66</x:f>
        <x:v>12667</x:v>
      </x:c>
      <x:c r="D23" s="52" t="n">
        <x:f>'Historical Financials'!D66</x:f>
        <x:v>12760</x:v>
      </x:c>
      <x:c r="E23" s="34" t="n">
        <x:f>-E7*Inputs!$B$18</x:f>
        <x:v>-39.844454999999996</x:v>
      </x:c>
      <x:c r="F23" s="34" t="n">
        <x:f>-F7*Inputs!$B$18</x:f>
        <x:v>-43.0320114</x:v>
      </x:c>
      <x:c r="G23" s="34" t="n">
        <x:f>-G7*Inputs!$B$18</x:f>
        <x:v>-46.259412255</x:v>
      </x:c>
      <x:c r="H23" s="34" t="n">
        <x:f>-H7*Inputs!$B$18</x:f>
        <x:v>-49.497571112850004</x:v>
      </x:c>
      <x:c r="I23" s="34" t="n">
        <x:f>-I7*Inputs!$B$18</x:f>
        <x:v>-52.71491323518526</x:v>
      </x:c>
    </x:row>
    <x:row r="24">
      <x:c r="A24" t="str">
        <x:v>Less: change in NWC</x:v>
      </x:c>
      <x:c r="B24" s="52" t="str"/>
      <x:c r="C24" s="52" t="str"/>
      <x:c r="D24" s="52" t="str"/>
      <x:c r="E24" s="34" t="n">
        <x:f>-(E7-D7)*Inputs!$B$19</x:f>
        <x:v>-10.404849999999987</x:v>
      </x:c>
      <x:c r="F24" s="34" t="n">
        <x:f>-(F7-E7)*Inputs!$B$19</x:f>
        <x:v>-10.625188000000017</x:v>
      </x:c>
      <x:c r="G24" s="34" t="n">
        <x:f>-(G7-F7)*Inputs!$B$19</x:f>
        <x:v>-10.758002849999993</x:v>
      </x:c>
      <x:c r="H24" s="34" t="n">
        <x:f>-(H7-G7)*Inputs!$B$19</x:f>
        <x:v>-10.793862859500004</x:v>
      </x:c>
      <x:c r="I24" s="34" t="n">
        <x:f>-(I7-H7)*Inputs!$B$19</x:f>
        <x:v>-10.724473741117508</x:v>
      </x:c>
    </x:row>
    <x:row r="25">
      <x:c r="A25" t="str">
        <x:v>Unlevered FCF</x:v>
      </x:c>
      <x:c r="B25" s="52" t="n">
        <x:f>'Historical Financials'!B69</x:f>
        <x:v>12683</x:v>
      </x:c>
      <x:c r="C25" s="52" t="n">
        <x:f>'Historical Financials'!C69</x:f>
        <x:v>12563</x:v>
      </x:c>
      <x:c r="D25" s="52" t="n">
        <x:f>'Historical Financials'!D69</x:f>
        <x:v>12878</x:v>
      </x:c>
      <x:c r="E25" s="34" t="n">
        <x:f>SUM(E21:E24)</x:f>
        <x:v>2515.0695227499987</x:v>
      </x:c>
      <x:c r="F25" s="34" t="n">
        <x:f>SUM(F21:F24)</x:f>
        <x:v>2716.8871345700004</x:v>
      </x:c>
      <x:c r="G25" s="34" t="n">
        <x:f>SUM(G21:G24)</x:f>
        <x:v>2921.3177439127494</x:v>
      </x:c>
      <x:c r="H25" s="34" t="n">
        <x:f>SUM(H21:H24)</x:f>
        <x:v>3126.527186176643</x:v>
      </x:c>
      <x:c r="I25" s="34" t="n">
        <x:f>SUM(I21:I24)</x:f>
        <x:v>3330.5224434823745</x:v>
      </x:c>
    </x:row>
    <x:row r="26">
      <x:c r="A26" t="str">
        <x:v>Diluted shares</x:v>
      </x:c>
      <x:c r="B26" s="52" t="n">
        <x:f>'Historical Financials'!B20</x:f>
        <x:v>662</x:v>
      </x:c>
      <x:c r="C26" s="52" t="n">
        <x:f>'Historical Financials'!C20</x:f>
        <x:v>645</x:v>
      </x:c>
      <x:c r="D26" s="52" t="n">
        <x:f>'Historical Financials'!D20</x:f>
        <x:v>623</x:v>
      </x:c>
      <x:c r="E26" s="34" t="n">
        <x:f>D26*(1+Inputs!$B$22)</x:f>
        <x:v>613.655</x:v>
      </x:c>
      <x:c r="F26" s="34" t="n">
        <x:f>E26*(1+Inputs!$B$22)</x:f>
        <x:v>604.450175</x:v>
      </x:c>
      <x:c r="G26" s="34" t="n">
        <x:f>F26*(1+Inputs!$B$22)</x:f>
        <x:v>595.3834223749999</x:v>
      </x:c>
      <x:c r="H26" s="34" t="n">
        <x:f>G26*(1+Inputs!$B$22)</x:f>
        <x:v>586.4526710393749</x:v>
      </x:c>
      <x:c r="I26" s="34" t="n">
        <x:f>H26*(1+Inputs!$B$22)</x:f>
        <x:v>577.6558809737843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82" t="str">
        <x:v>DCF Valuation</x:v>
      </x:c>
      <x:c r="B1" s="82" t="str"/>
      <x:c r="C1" s="82" t="str"/>
      <x:c r="D1" s="82" t="str"/>
      <x:c r="E1" s="82" t="str"/>
      <x:c r="F1" s="82" t="str"/>
      <x:c r="G1" s="82" t="str"/>
      <x:c r="H1" s="82" t="str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ht="24" customHeight="1">
      <x:c r="A2" s="10" t="str">
        <x:v>$ in millions except per-share data. Forecast output from Forecast Model; assumptions from Inputs.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24" t="str">
        <x:v>DCF Output</x:v>
      </x:c>
      <x:c r="B4" s="24" t="str">
        <x:v>2026E</x:v>
      </x:c>
      <x:c r="C4" s="24" t="str">
        <x:v>2027E</x:v>
      </x:c>
      <x:c r="D4" s="24" t="str">
        <x:v>2028E</x:v>
      </x:c>
      <x:c r="E4" s="24" t="str">
        <x:v>2029E</x:v>
      </x:c>
      <x:c r="F4" s="24" t="str">
        <x:v>2030E</x:v>
      </x:c>
      <x:c r="G4" s="24" t="str">
        <x:v>Notes</x:v>
      </x:c>
    </x:row>
    <x:row r="5">
      <x:c r="A5" t="str">
        <x:v>Unlevered FCF</x:v>
      </x:c>
      <x:c r="B5" s="52" t="n">
        <x:f>'Forecast Model'!E25</x:f>
        <x:v>2515.0695227499987</x:v>
      </x:c>
      <x:c r="C5" s="52" t="n">
        <x:f>'Forecast Model'!F25</x:f>
        <x:v>2716.8871345700004</x:v>
      </x:c>
      <x:c r="D5" s="52" t="n">
        <x:f>'Forecast Model'!G25</x:f>
        <x:v>2921.3177439127494</x:v>
      </x:c>
      <x:c r="E5" s="52" t="n">
        <x:f>'Forecast Model'!H25</x:f>
        <x:v>3126.527186176643</x:v>
      </x:c>
      <x:c r="F5" s="52" t="n">
        <x:f>'Forecast Model'!I25</x:f>
        <x:v>3330.5224434823745</x:v>
      </x:c>
      <x:c r="G5" t="str">
        <x:v>From Forecast Model</x:v>
      </x:c>
    </x:row>
    <x:row r="6">
      <x:c r="A6" t="str">
        <x:v>Discount period</x:v>
      </x:c>
      <x:c r="B6" s="52" t="n">
        <x:v>0.5</x:v>
      </x:c>
      <x:c r="C6" s="52" t="n">
        <x:v>1.5</x:v>
      </x:c>
      <x:c r="D6" s="52" t="n">
        <x:v>2.5</x:v>
      </x:c>
      <x:c r="E6" s="52" t="n">
        <x:v>3.5</x:v>
      </x:c>
      <x:c r="F6" s="52" t="n">
        <x:v>4.5</x:v>
      </x:c>
      <x:c r="G6" t="str">
        <x:v>Mid-year convention</x:v>
      </x:c>
    </x:row>
    <x:row r="7">
      <x:c r="A7" t="str">
        <x:v>Discount factor</x:v>
      </x:c>
      <x:c r="B7" s="52" t="n">
        <x:f>1/(1+Inputs!$B$20)^B6</x:f>
        <x:v>0.9556369651349932</x:v>
      </x:c>
      <x:c r="C7" s="52" t="n">
        <x:f>1/(1+Inputs!$B$20)^C6</x:f>
        <x:v>0.8727278220410896</x:v>
      </x:c>
      <x:c r="D7" s="52" t="n">
        <x:f>1/(1+Inputs!$B$20)^D6</x:f>
        <x:v>0.797011709626566</x:v>
      </x:c>
      <x:c r="E7" s="52" t="n">
        <x:f>1/(1+Inputs!$B$20)^E6</x:f>
        <x:v>0.7278645750014301</x:v>
      </x:c>
      <x:c r="F7" s="52" t="n">
        <x:f>1/(1+Inputs!$B$20)^F6</x:f>
        <x:v>0.6647165068506211</x:v>
      </x:c>
      <x:c r="G7" t="str">
        <x:v>Formula</x:v>
      </x:c>
    </x:row>
    <x:row r="8">
      <x:c r="A8" t="str">
        <x:v>PV of FCF</x:v>
      </x:c>
      <x:c r="B8" s="52" t="n">
        <x:f>B5*B7</x:f>
        <x:v>2403.4934058243243</x:v>
      </x:c>
      <x:c r="C8" s="52" t="n">
        <x:f>C5*C7</x:f>
        <x:v>2371.102991684733</x:v>
      </x:c>
      <x:c r="D8" s="52" t="n">
        <x:f>D5*D7</x:f>
        <x:v>2328.324449438323</x:v>
      </x:c>
      <x:c r="E8" s="52" t="n">
        <x:f>E5*E7</x:f>
        <x:v>2275.6883815968795</x:v>
      </x:c>
      <x:c r="F8" s="52" t="n">
        <x:f>F5*F7</x:f>
        <x:v>2213.8532446191994</x:v>
      </x:c>
      <x:c r="G8" t="str">
        <x:v>Formula</x:v>
      </x:c>
    </x:row>
    <x:row r="10">
      <x:c r="A10" s="19" t="str">
        <x:v>WACC</x:v>
      </x:c>
      <x:c r="B10" s="66" t="n">
        <x:f>Inputs!$B$20</x:f>
        <x:v>0.095</x:v>
      </x:c>
    </x:row>
    <x:row r="11">
      <x:c r="A11" t="str">
        <x:v>Terminal growth</x:v>
      </x:c>
      <x:c r="B11" s="42" t="n">
        <x:f>Inputs!$B$21</x:f>
        <x:v>0.03</x:v>
      </x:c>
    </x:row>
    <x:row r="12">
      <x:c r="A12" t="str">
        <x:v>Terminal year FCF</x:v>
      </x:c>
      <x:c r="B12" s="34" t="n">
        <x:f>F5</x:f>
        <x:v>3330.5224434823745</x:v>
      </x:c>
    </x:row>
    <x:row r="13">
      <x:c r="A13" t="str">
        <x:v>Terminal value</x:v>
      </x:c>
      <x:c r="B13" s="34" t="n">
        <x:f>B12*(1+B11)/(B10-B11)</x:f>
        <x:v>52775.97102748993</x:v>
      </x:c>
    </x:row>
    <x:row r="14">
      <x:c r="A14" t="str">
        <x:v>PV of terminal value</x:v>
      </x:c>
      <x:c r="B14" s="34" t="n">
        <x:f>B13*F7</x:f>
        <x:v>35081.059107042696</x:v>
      </x:c>
    </x:row>
    <x:row r="15">
      <x:c r="A15" t="str">
        <x:v>PV of forecast FCF</x:v>
      </x:c>
      <x:c r="B15" s="34" t="n">
        <x:f>SUM(B8:F8)</x:f>
        <x:v>11592.462473163458</x:v>
      </x:c>
    </x:row>
    <x:row r="16">
      <x:c r="A16" t="str">
        <x:v>Enterprise value</x:v>
      </x:c>
      <x:c r="B16" s="34" t="n">
        <x:f>B14+B15</x:f>
        <x:v>46673.52158020616</x:v>
      </x:c>
    </x:row>
    <x:row r="17">
      <x:c r="A17" t="str">
        <x:v>Less: debt</x:v>
      </x:c>
      <x:c r="B17" s="34" t="n">
        <x:f>'Historical Financials'!D37+'Historical Financials'!D40</x:f>
        <x:v>2103</x:v>
      </x:c>
    </x:row>
    <x:row r="18">
      <x:c r="A18" t="str">
        <x:v>Plus: cash &amp; short-term investments</x:v>
      </x:c>
      <x:c r="B18" s="34" t="n">
        <x:f>'Historical Financials'!D25+'Historical Financials'!D26</x:f>
        <x:v>11014</x:v>
      </x:c>
    </x:row>
    <x:row r="19">
      <x:c r="A19" t="str">
        <x:v>Equity value</x:v>
      </x:c>
      <x:c r="B19" s="34" t="n">
        <x:f>B16-B17+B18</x:f>
        <x:v>55584.52158020616</x:v>
      </x:c>
    </x:row>
    <x:row r="20">
      <x:c r="B20" s="34"/>
    </x:row>
    <x:row r="21">
      <x:c r="A21" t="str">
        <x:v>Diluted shares</x:v>
      </x:c>
      <x:c r="B21" s="34" t="n">
        <x:f>'Forecast Model'!I26</x:f>
        <x:v>577.6558809737843</x:v>
      </x:c>
    </x:row>
    <x:row r="22">
      <x:c r="A22" t="str">
        <x:v>Implied share price</x:v>
      </x:c>
      <x:c r="B22" s="68" t="n">
        <x:f>B19/B21</x:f>
        <x:v>96.22428059851907</x:v>
      </x:c>
    </x:row>
    <x:row r="23">
      <x:c r="A23" t="str">
        <x:v>Current price</x:v>
      </x:c>
      <x:c r="B23" s="68" t="str"/>
    </x:row>
    <x:row r="25">
      <x:c r="A25" s="24" t="str">
        <x:v>Sensitivity: Implied Share Price</x:v>
      </x:c>
      <x:c r="B25" s="70" t="n">
        <x:v>0.02</x:v>
      </x:c>
      <x:c r="C25" s="70" t="n">
        <x:v>0.025</x:v>
      </x:c>
      <x:c r="D25" s="70" t="n">
        <x:v>0.03</x:v>
      </x:c>
      <x:c r="E25" s="70" t="n">
        <x:v>0.035</x:v>
      </x:c>
      <x:c r="F25" s="70" t="n">
        <x:v>0.04</x:v>
      </x:c>
    </x:row>
    <x:row r="26">
      <x:c r="A26" s="72" t="n">
        <x:v>0.085</x:v>
      </x:c>
      <x:c r="B26" s="74" t="n">
        <x:f>($B$15 + ($B$12*(1+B$25)/($A26-B$25))*$F$7 - $B$17 + $B$18)/$B$21</x:f>
        <x:v>95.63466865465668</x:v>
      </x:c>
      <x:c r="C26" s="74" t="n">
        <x:f>($B$15 + ($B$12*(1+C$25)/($A26-C$25))*$F$7 - $B$17 + $B$18)/$B$21</x:f>
        <x:v>100.96574331374575</x:v>
      </x:c>
      <x:c r="D26" s="74" t="n">
        <x:f>($B$15 + ($B$12*(1+D$25)/($A26-D$25))*$F$7 - $B$17 + $B$18)/$B$21</x:f>
        <x:v>107.26610427448739</x:v>
      </x:c>
      <x:c r="E26" s="74" t="n">
        <x:f>($B$15 + ($B$12*(1+E$25)/($A26-E$25))*$F$7 - $B$17 + $B$18)/$B$21</x:f>
        <x:v>114.82653742737736</x:v>
      </x:c>
      <x:c r="F26" s="74" t="n">
        <x:f>($B$15 + ($B$12*(1+F$25)/($A26-F$25))*$F$7 - $B$17 + $B$18)/$B$21</x:f>
        <x:v>124.06706683646507</x:v>
      </x:c>
    </x:row>
    <x:row r="27">
      <x:c r="A27" s="72" t="n">
        <x:v>0.09</x:v>
      </x:c>
      <x:c r="B27" s="74" t="n">
        <x:f>($B$15 + ($B$12*(1+B$25)/($A27-B$25))*$F$7 - $B$17 + $B$18)/$B$21</x:f>
        <x:v>91.33892449223073</x:v>
      </x:c>
      <x:c r="C27" s="74" t="n">
        <x:f>($B$15 + ($B$12*(1+C$25)/($A27-C$25))*$F$7 - $B$17 + $B$18)/$B$21</x:f>
        <x:v>95.92947462658788</x:v>
      </x:c>
      <x:c r="D27" s="74" t="n">
        <x:f>($B$15 + ($B$12*(1+D$25)/($A27-D$25))*$F$7 - $B$17 + $B$18)/$B$21</x:f>
        <x:v>101.28511645000455</x:v>
      </x:c>
      <x:c r="E27" s="74" t="n">
        <x:f>($B$15 + ($B$12*(1+E$25)/($A27-E$25))*$F$7 - $B$17 + $B$18)/$B$21</x:f>
        <x:v>107.61451133222427</x:v>
      </x:c>
      <x:c r="F27" s="74" t="n">
        <x:f>($B$15 + ($B$12*(1+F$25)/($A27-F$25))*$F$7 - $B$17 + $B$18)/$B$21</x:f>
        <x:v>115.20978519088791</x:v>
      </x:c>
    </x:row>
    <x:row r="28">
      <x:c r="A28" s="72" t="n">
        <x:v>0.095</x:v>
      </x:c>
      <x:c r="B28" s="74" t="n">
        <x:f>($B$15 + ($B$12*(1+B$25)/($A28-B$25))*$F$7 - $B$17 + $B$18)/$B$21</x:f>
        <x:v>87.61594621812823</x:v>
      </x:c>
      <x:c r="C28" s="74" t="n">
        <x:f>($B$15 + ($B$12*(1+C$25)/($A28-C$25))*$F$7 - $B$17 + $B$18)/$B$21</x:f>
        <x:v>91.61267289473825</x:v>
      </x:c>
      <x:c r="D28" s="74" t="n">
        <x:f>($B$15 + ($B$12*(1+D$25)/($A28-D$25))*$F$7 - $B$17 + $B$18)/$B$21</x:f>
        <x:v>96.22428059851907</x:v>
      </x:c>
      <x:c r="E28" s="74" t="n">
        <x:f>($B$15 + ($B$12*(1+E$25)/($A28-E$25))*$F$7 - $B$17 + $B$18)/$B$21</x:f>
        <x:v>101.60448958626334</x:v>
      </x:c>
      <x:c r="F28" s="74" t="n">
        <x:f>($B$15 + ($B$12*(1+F$25)/($A28-F$25))*$F$7 - $B$17 + $B$18)/$B$21</x:f>
        <x:v>107.96291838996112</x:v>
      </x:c>
    </x:row>
    <x:row r="29">
      <x:c r="A29" s="72" t="n">
        <x:v>0.1</x:v>
      </x:c>
      <x:c r="B29" s="74" t="n">
        <x:f>($B$15 + ($B$12*(1+B$25)/($A29-B$25))*$F$7 - $B$17 + $B$18)/$B$21</x:f>
        <x:v>84.35834022828855</x:v>
      </x:c>
      <x:c r="C29" s="74" t="n">
        <x:f>($B$15 + ($B$12*(1+C$25)/($A29-C$25))*$F$7 - $B$17 + $B$18)/$B$21</x:f>
        <x:v>87.87144472713526</x:v>
      </x:c>
      <x:c r="D29" s="74" t="n">
        <x:f>($B$15 + ($B$12*(1+D$25)/($A29-D$25))*$F$7 - $B$17 + $B$18)/$B$21</x:f>
        <x:v>91.8864212972458</x:v>
      </x:c>
      <x:c r="E29" s="74" t="n">
        <x:f>($B$15 + ($B$12*(1+E$25)/($A29-E$25))*$F$7 - $B$17 + $B$18)/$B$21</x:f>
        <x:v>96.51908657045026</x:v>
      </x:c>
      <x:c r="F29" s="74" t="n">
        <x:f>($B$15 + ($B$12*(1+F$25)/($A29-F$25))*$F$7 - $B$17 + $B$18)/$B$21</x:f>
        <x:v>101.92386272252213</x:v>
      </x:c>
    </x:row>
    <x:row r="30">
      <x:c r="A30" s="72" t="n">
        <x:v>0.105</x:v>
      </x:c>
      <x:c r="B30" s="74" t="n">
        <x:f>($B$15 + ($B$12*(1+B$25)/($A30-B$25))*$F$7 - $B$17 + $B$18)/$B$21</x:f>
        <x:v>81.48398200195942</x:v>
      </x:c>
      <x:c r="C30" s="74" t="n">
        <x:f>($B$15 + ($B$12*(1+C$25)/($A30-C$25))*$F$7 - $B$17 + $B$18)/$B$21</x:f>
        <x:v>84.59787008048265</x:v>
      </x:c>
      <x:c r="D30" s="74" t="n">
        <x:f>($B$15 + ($B$12*(1+D$25)/($A30-D$25))*$F$7 - $B$17 + $B$18)/$B$21</x:f>
        <x:v>88.1269432361423</x:v>
      </x:c>
      <x:c r="E30" s="74" t="n">
        <x:f>($B$15 + ($B$12*(1+E$25)/($A30-E$25))*$F$7 - $B$17 + $B$18)/$B$21</x:f>
        <x:v>92.16016969975334</x:v>
      </x:c>
      <x:c r="F30" s="74" t="n">
        <x:f>($B$15 + ($B$12*(1+F$25)/($A30-F$25))*$F$7 - $B$17 + $B$18)/$B$21</x:f>
        <x:v>96.81389254238145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4" hidden="0" customWidth="1"/>
    <x:col min="4" max="4" width="54" hidden="0" customWidth="1"/>
  </x:cols>
  <x:sheetData>
    <x:row r="1" ht="30" customHeight="1">
      <x:c r="A1" s="86" t="str">
        <x:v>QA Checks</x:v>
      </x:c>
      <x:c r="B1" s="86" t="str"/>
      <x:c r="C1" s="86" t="str"/>
      <x:c r="D1" s="86" t="str"/>
      <x:c r="E1" s="82" t="str"/>
      <x:c r="F1" s="82" t="str"/>
      <x:c r="G1" s="82" t="str"/>
      <x:c r="H1" s="82" t="str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</x:row>
    <x:row r="2" ht="24" customHeight="1">
      <x:c r="A2" s="10" t="str">
        <x:v>Key historical tie-outs and model integrity checks.</x:v>
      </x:c>
      <x:c r="B2" s="10" t="str"/>
      <x:c r="C2" s="10" t="str"/>
      <x:c r="D2" s="10" t="str"/>
      <x:c r="E2" s="10" t="str"/>
      <x:c r="F2" s="10" t="str"/>
      <x:c r="G2" s="10" t="str"/>
      <x:c r="H2" s="10" t="str"/>
    </x:row>
    <x:row r="4">
      <x:c r="A4" s="24" t="str">
        <x:v>Check</x:v>
      </x:c>
      <x:c r="B4" s="24" t="str">
        <x:v>Formula / Difference</x:v>
      </x:c>
      <x:c r="C4" s="24" t="str">
        <x:v>Status</x:v>
      </x:c>
      <x:c r="D4" s="24" t="str">
        <x:v>Notes</x:v>
      </x:c>
    </x:row>
    <x:row r="5">
      <x:c r="A5" t="str">
        <x:v>Revenue tie-out 2025</x:v>
      </x:c>
      <x:c r="B5" s="76" t="n">
        <x:f>'Historical Financials'!D7-12241</x:f>
        <x:v>0</x:v>
      </x:c>
      <x:c r="C5" s="79" t="str">
        <x:f>IF(B5=0,"PASS","FAIL")</x:f>
        <x:v>PASS</x:v>
      </x:c>
      <x:c r="D5" t="str">
        <x:v>Matches FY2025 10-K revenue</x:v>
      </x:c>
    </x:row>
    <x:row r="6">
      <x:c r="A6" t="str">
        <x:v>Operating income tie-out 2025</x:v>
      </x:c>
      <x:c r="B6" s="76" t="n">
        <x:f>'Historical Financials'!D14-2544</x:f>
        <x:v>0</x:v>
      </x:c>
      <x:c r="C6" s="79" t="str">
        <x:f>IF(B6=0,"PASS","FAIL")</x:f>
        <x:v>PASS</x:v>
      </x:c>
      <x:c r="D6" t="str">
        <x:v>Matches FY2025 10-K operating income</x:v>
      </x:c>
    </x:row>
    <x:row r="7">
      <x:c r="A7" t="str">
        <x:v>Net income tie-out 2025</x:v>
      </x:c>
      <x:c r="B7" s="76" t="n">
        <x:f>'Historical Financials'!D19-2511</x:f>
        <x:v>0</x:v>
      </x:c>
      <x:c r="C7" s="79" t="str">
        <x:f>IF(B7=0,"PASS","FAIL")</x:f>
        <x:v>PASS</x:v>
      </x:c>
      <x:c r="D7" t="str">
        <x:v>Matches FY2025 10-K net income</x:v>
      </x:c>
    </x:row>
    <x:row r="8">
      <x:c r="A8" t="str">
        <x:v>Balance sheet actual check 2025</x:v>
      </x:c>
      <x:c r="B8" s="76" t="n">
        <x:f>'Historical Financials'!D33-'Historical Financials'!D43</x:f>
        <x:v>0</x:v>
      </x:c>
      <x:c r="C8" s="79" t="str">
        <x:f>IF(B8=0,"PASS","FAIL")</x:f>
        <x:v>PASS</x:v>
      </x:c>
      <x:c r="D8" t="str">
        <x:v>Total assets vs. liabilities + equity</x:v>
      </x:c>
    </x:row>
    <x:row r="9">
      <x:c r="A9" t="str">
        <x:v>Cash flow ending cash check 2025</x:v>
      </x:c>
      <x:c r="B9" s="76" t="n">
        <x:f>'Historical Financials'!D67-13486</x:f>
        <x:v>0</x:v>
      </x:c>
      <x:c r="C9" s="79" t="str">
        <x:f>IF(B9=0,"PASS","FAIL")</x:f>
        <x:v>PASS</x:v>
      </x:c>
      <x:c r="D9" t="str">
        <x:v>Matches FY2025 ending cash / restricted cash</x:v>
      </x:c>
    </x:row>
    <x:row r="10">
      <x:c r="A10" t="str">
        <x:v>Regional revenue tie-out 2025</x:v>
      </x:c>
      <x:c r="B10" s="76" t="n">
        <x:f>'Operating Drivers'!D21-'Operating Drivers'!D7</x:f>
        <x:v>0</x:v>
      </x:c>
      <x:c r="C10" s="79" t="str">
        <x:f>IF(B10=0,"PASS","FAIL")</x:f>
        <x:v>PASS</x:v>
      </x:c>
      <x:c r="D10" t="str">
        <x:v>Regional revenue sums to total revenue</x:v>
      </x:c>
    </x:row>
    <x:row r="11">
      <x:c r="A11" t="str">
        <x:v>Regional GBV tie-out 2025</x:v>
      </x:c>
      <x:c r="B11" s="76" t="n">
        <x:f>'Operating Drivers'!D28-'Operating Drivers'!D6</x:f>
        <x:v>0</x:v>
      </x:c>
      <x:c r="C11" s="79" t="str">
        <x:f>IF(B11=0,"PASS","FAIL")</x:f>
        <x:v>PASS</x:v>
      </x:c>
      <x:c r="D11" t="str">
        <x:v>Regional GBV sums to total GBV</x:v>
      </x:c>
    </x:row>
    <x:row r="12">
      <x:c r="A12" t="str">
        <x:v>Regional nights tie-out 2025</x:v>
      </x:c>
      <x:c r="B12" s="76" t="n">
        <x:f>'Operating Drivers'!D35-'Operating Drivers'!D5</x:f>
        <x:v>0</x:v>
      </x:c>
      <x:c r="C12" s="79" t="str">
        <x:f>IF(B12=0,"PASS","FAIL")</x:f>
        <x:v>PASS</x:v>
      </x:c>
      <x:c r="D12" t="str">
        <x:v>Regional Nights &amp; Seats sums to total</x:v>
      </x:c>
    </x:row>
    <x:row r="13">
      <x:c r="A13" t="str">
        <x:v>DCF sensitivity present</x:v>
      </x:c>
      <x:c r="B13" s="76" t="n">
        <x:f>IF(COUNTA(DCF!B26:F30)=25,0,1)</x:f>
        <x:v>0</x:v>
      </x:c>
      <x:c r="C13" s="79" t="str">
        <x:f>IF(B13=0,"PASS","FAIL")</x:f>
        <x:v>PASS</x:v>
      </x:c>
      <x:c r="D13" t="str">
        <x:v>Sensitivity grid populated</x:v>
      </x:c>
    </x:row>
    <x:row r="14">
      <x:c r="A14" t="str">
        <x:v>Forecast FCF positive 2030E</x:v>
      </x:c>
      <x:c r="B14" s="76" t="n">
        <x:f>'Forecast Model'!I25</x:f>
        <x:v>3330.5224434823745</x:v>
      </x:c>
      <x:c r="C14" s="79" t="str">
        <x:f>IF(B14&gt;0,"PASS","FAIL")</x:f>
        <x:v>PASS</x:v>
      </x:c>
      <x:c r="D14" t="str">
        <x:v>Sanity check only</x:v>
      </x:c>
    </x:row>
  </x:sheetData>
  <x:mergeCells>
    <x:mergeCell ref="A1:H1"/>
    <x:mergeCell ref="A2:H2"/>
  </x:mergeCells>
  <x:pageMargins left="0.7" right="0.7" top="0.75" bottom="0.75" header="0.3" footer="0.3"/>
</x:worksheet>
</file>