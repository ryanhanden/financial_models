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Operations" sheetId="2" state="visible" r:id="rId4"/>
    <sheet name="Debt" sheetId="3" state="visible" r:id="rId5"/>
    <sheet name="CashFlow" sheetId="4" state="visible" r:id="rId6"/>
    <sheet name="Sensitivit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9" authorId="0">
      <text>
        <r>
          <rPr>
            <sz val="10"/>
            <rFont val="Arial"/>
            <family val="2"/>
          </rPr>
          <t xml:space="preserve">Actual reported sale price for this transaction. Source: Marcus &amp; Millichap / YieldPRO, Jun 2026 (yieldpro.com/2026/06/briarwood-apartments-livermore).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Post-renovation stabilized asking rent; Livermore 2BR market avg ~$2,816/mo per RentCafe (Aug 2026); used at a modest discount to reflect this submarket/vintage. Actual in-place rent roll was not publicly disclosed in the sale listing.</t>
        </r>
      </text>
    </comment>
    <comment ref="D6" authorId="0">
      <text>
        <r>
          <rPr>
            <sz val="10"/>
            <rFont val="Arial"/>
            <family val="2"/>
          </rPr>
          <t xml:space="preserve">Estimated; Livermore 3BR market avg ~$3,329/mo per RentCafe (Aug 2026).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Actual acquisition loan reported for this transaction: $13.3MM (Marcus &amp; Millichap Capital Corp, non-recourse). Source: YieldPRO, Jun 2026.</t>
        </r>
      </text>
    </comment>
    <comment ref="B7" authorId="0">
      <text>
        <r>
          <rPr>
            <sz val="10"/>
            <rFont val="Arial"/>
            <family val="2"/>
          </rPr>
          <t xml:space="preserve">Reported fixed rate on the acquisition loan. Source: YieldPRO, Jun 2026.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Base case: ~25 bps above going-in cap (6.50%), a conservative cap-rate-expansion convention over a 10-yr hold. East Bay Class B multifamily cap rates ~5.25-5.75% stabilized per Q2 2026 broker market outlooks; this asset's older vintage / interior-Livermore location supports pricing at the higher end.</t>
        </r>
      </text>
    </comment>
  </commentList>
</comments>
</file>

<file path=xl/sharedStrings.xml><?xml version="1.0" encoding="utf-8"?>
<sst xmlns="http://schemas.openxmlformats.org/spreadsheetml/2006/main" count="269" uniqueCount="158">
  <si>
    <t xml:space="preserve">MULTIFAMILY ACQUISITION UNDERWRITING — Briarwood Apartments, Livermore, CA</t>
  </si>
  <si>
    <t xml:space="preserve">Property Overview &amp; Acquisition</t>
  </si>
  <si>
    <t xml:space="preserve">Property Name</t>
  </si>
  <si>
    <t xml:space="preserve">Briarwood Apartments</t>
  </si>
  <si>
    <t xml:space="preserve">Address</t>
  </si>
  <si>
    <t xml:space="preserve">3819 East Ave, Livermore, CA 94550</t>
  </si>
  <si>
    <t xml:space="preserve">Submarket</t>
  </si>
  <si>
    <t xml:space="preserve">Tri-Valley / Alameda County, East Bay, CA</t>
  </si>
  <si>
    <t xml:space="preserve">Year Built</t>
  </si>
  <si>
    <t xml:space="preserve">Total Units (link)</t>
  </si>
  <si>
    <t xml:space="preserve">Purchase Price</t>
  </si>
  <si>
    <t xml:space="preserve">Price / Unit</t>
  </si>
  <si>
    <t xml:space="preserve">Closing Cost % (legal, title, escrow, DD)</t>
  </si>
  <si>
    <t xml:space="preserve">Closing Costs $</t>
  </si>
  <si>
    <t xml:space="preserve">Loan Origination Fee %</t>
  </si>
  <si>
    <t xml:space="preserve">Loan Origination Fee $</t>
  </si>
  <si>
    <t xml:space="preserve">Total Acquisition Cost</t>
  </si>
  <si>
    <t xml:space="preserve">Going-in Cap Rate (Yr 1 NOI / Price)</t>
  </si>
  <si>
    <t xml:space="preserve">Loan Amount (link)</t>
  </si>
  <si>
    <t xml:space="preserve">LTV</t>
  </si>
  <si>
    <t xml:space="preserve">Equity Required</t>
  </si>
  <si>
    <t xml:space="preserve">10-Year Return Summary</t>
  </si>
  <si>
    <t xml:space="preserve">Exit Cap Rate</t>
  </si>
  <si>
    <t xml:space="preserve">Hold Period (years)</t>
  </si>
  <si>
    <t xml:space="preserve">Unlevered IRR</t>
  </si>
  <si>
    <t xml:space="preserve">Levered IRR</t>
  </si>
  <si>
    <t xml:space="preserve">Equity Multiple</t>
  </si>
  <si>
    <t xml:space="preserve">Average Cash-on-Cash</t>
  </si>
  <si>
    <t xml:space="preserve">Year 1 DSCR</t>
  </si>
  <si>
    <t xml:space="preserve">Year 1 Debt Yield</t>
  </si>
  <si>
    <t xml:space="preserve">Notes: Unit count, address, purchase price, and loan terms (amount/rate/IO/amortization) are the actual reported transaction terms. Rent roll, expenses, and going-in NOI are analyst estimates built from Livermore-area market rent comps (RentCafe, Aug 2026) and typical Class B/1960s-vintage East Bay opex benchmarks, since the seller's actual T-12 and rent roll are not publicly disclosed.</t>
  </si>
  <si>
    <t xml:space="preserve">OPERATIONS — Unit Mix, Rent Roll &amp; 10-Year Operating Statement</t>
  </si>
  <si>
    <t xml:space="preserve">Unit Mix &amp; In-Place / Market Rent Roll</t>
  </si>
  <si>
    <t xml:space="preserve">Unit Type</t>
  </si>
  <si>
    <t xml:space="preserve"># Units</t>
  </si>
  <si>
    <t xml:space="preserve">Avg SF</t>
  </si>
  <si>
    <t xml:space="preserve">Rent / Unit / Mo</t>
  </si>
  <si>
    <t xml:space="preserve">Rent / SF</t>
  </si>
  <si>
    <t xml:space="preserve">Monthly Rent (Total)</t>
  </si>
  <si>
    <t xml:space="preserve">Annual GPR (Yr 1)</t>
  </si>
  <si>
    <t xml:space="preserve">2BR / 1BA</t>
  </si>
  <si>
    <t xml:space="preserve">3BR / 1BA</t>
  </si>
  <si>
    <t xml:space="preserve">Total / Weighted Avg</t>
  </si>
  <si>
    <t xml:space="preserve">Source: Marcus &amp; Millichap / YieldPRO transaction report (Jun 2026) for unit count, unit mix, address &amp; sale price. Rents estimated from RentCafe Livermore market data (Aug 2026) — actual seller T-12 / rent roll not publicly available.</t>
  </si>
  <si>
    <t xml:space="preserve">Key Operating Assumptions</t>
  </si>
  <si>
    <t xml:space="preserve">Market Rent Growth (annual)</t>
  </si>
  <si>
    <t xml:space="preserve">Vacancy &amp; Credit Loss (% of GPR)</t>
  </si>
  <si>
    <t xml:space="preserve">Other Income ($ / unit / month)</t>
  </si>
  <si>
    <t xml:space="preserve">General Expense Growth (annual)</t>
  </si>
  <si>
    <t xml:space="preserve">Property Tax Growth (Prop 13 cap)</t>
  </si>
  <si>
    <t xml:space="preserve">Management Fee (% of EGI)</t>
  </si>
  <si>
    <t xml:space="preserve">Capital Reserves ($ / unit / yr, Yr 1)</t>
  </si>
  <si>
    <t xml:space="preserve">Year 1 Operating Expense Inputs ($ / unit / year, except tax rate)</t>
  </si>
  <si>
    <t xml:space="preserve">Property Tax Rate (% of Purchase Price)</t>
  </si>
  <si>
    <t xml:space="preserve">Insurance ($ / unit / yr)</t>
  </si>
  <si>
    <t xml:space="preserve">Repairs &amp; Maintenance ($ / unit / yr)</t>
  </si>
  <si>
    <t xml:space="preserve">Payroll &amp; On-site Mgmt ($ / unit / yr)</t>
  </si>
  <si>
    <t xml:space="preserve">General &amp; Administrative ($ / unit / yr)</t>
  </si>
  <si>
    <t xml:space="preserve">Utilities (owner-paid) ($ / unit / yr)</t>
  </si>
  <si>
    <t xml:space="preserve">10-Year Operating Statement</t>
  </si>
  <si>
    <t xml:space="preserve">($ per year)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</si>
  <si>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</si>
  <si>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</si>
  <si>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</si>
  <si>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</si>
  <si>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</si>
  <si>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</si>
  <si>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</si>
  <si>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</si>
  <si>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</si>
  <si>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</si>
  <si>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Gross Potential Rent (GPR)</t>
  </si>
  <si>
    <t xml:space="preserve">Vacancy &amp; Credit Loss</t>
  </si>
  <si>
    <t xml:space="preserve">Other Income</t>
  </si>
  <si>
    <t xml:space="preserve">Effective Gross Income (EGI)</t>
  </si>
  <si>
    <t xml:space="preserve">Operating Expenses:</t>
  </si>
  <si>
    <t xml:space="preserve">  Property Taxes</t>
  </si>
  <si>
    <t xml:space="preserve">  Insurance</t>
  </si>
  <si>
    <t xml:space="preserve">  Repairs &amp; Maintenance</t>
  </si>
  <si>
    <t xml:space="preserve">  Payroll &amp; On-site Mgmt</t>
  </si>
  <si>
    <t xml:space="preserve">  General &amp; Administrative</t>
  </si>
  <si>
    <t xml:space="preserve">  Utilities</t>
  </si>
  <si>
    <t xml:space="preserve">  Management Fee</t>
  </si>
  <si>
    <t xml:space="preserve">Total Operating Expenses</t>
  </si>
  <si>
    <t xml:space="preserve">Net Operating Income (NOI)</t>
  </si>
  <si>
    <t xml:space="preserve">Capital Reserves</t>
  </si>
  <si>
    <t xml:space="preserve">Net Cash Flow (pre-debt service)</t>
  </si>
  <si>
    <t xml:space="preserve">DEBT — Loan Terms &amp; 10-Year Amortization Schedule</t>
  </si>
  <si>
    <t xml:space="preserve">Loan Terms</t>
  </si>
  <si>
    <t xml:space="preserve">Purchase Price (link)</t>
  </si>
  <si>
    <t xml:space="preserve">Loan Amount</t>
  </si>
  <si>
    <t xml:space="preserve">Implied LTV</t>
  </si>
  <si>
    <t xml:space="preserve">Interest Rate (annual, fixed)</t>
  </si>
  <si>
    <t xml:space="preserve">Monthly Rate</t>
  </si>
  <si>
    <t xml:space="preserve">Interest-Only Period (years)</t>
  </si>
  <si>
    <t xml:space="preserve">Amortization Period (years, post-IO)</t>
  </si>
  <si>
    <t xml:space="preserve">Amortization Period (months)</t>
  </si>
  <si>
    <t xml:space="preserve">Monthly P&amp;I Payment (post-IO)</t>
  </si>
  <si>
    <t xml:space="preserve">10-Year Annual Debt Service Schedule</t>
  </si>
  <si>
    <t xml:space="preserve">Beginning Balance</t>
  </si>
  <si>
    <t xml:space="preserve">Interest Payment</t>
  </si>
  <si>
    <t xml:space="preserve">Principal Payment</t>
  </si>
  <si>
    <t xml:space="preserve">Total Debt Service</t>
  </si>
  <si>
    <t xml:space="preserve">Ending Balance</t>
  </si>
  <si>
    <t xml:space="preserve">DSCR (NOI / Debt Service)</t>
  </si>
  <si>
    <t xml:space="preserve">Debt Yield (NOI / Loan Amount)</t>
  </si>
  <si>
    <t xml:space="preserve">CASH FLOW &amp; RETURNS — 10-Year Levered / Unlevered Analysis</t>
  </si>
  <si>
    <t xml:space="preserve">Exit &amp; Sale Assumptions</t>
  </si>
  <si>
    <t xml:space="preserve">Selling Costs (% of gross sale price)</t>
  </si>
  <si>
    <t xml:space="preserve">10-Year Cash Flow — Unlevered &amp; Levered</t>
  </si>
  <si>
    <t xml:space="preserve">Year 0</t>
  </si>
  <si>
    <t xml:space="preserve">Less: Capital Reserves</t>
  </si>
  <si>
    <t xml:space="preserve">Net Operating Cash Flow (Unlevered)</t>
  </si>
  <si>
    <t xml:space="preserve">Less: Debt Service</t>
  </si>
  <si>
    <t xml:space="preserve">Levered Operating Cash Flow</t>
  </si>
  <si>
    <t xml:space="preserve">Reversion / Sale (Year 10):</t>
  </si>
  <si>
    <t xml:space="preserve">  Forward NOI (Year 11E)</t>
  </si>
  <si>
    <t xml:space="preserve">  Gross Sale Price</t>
  </si>
  <si>
    <t xml:space="preserve">  Less: Selling Costs</t>
  </si>
  <si>
    <t xml:space="preserve">  Net Sale Proceeds (before payoff)</t>
  </si>
  <si>
    <t xml:space="preserve">  Less: Loan Payoff</t>
  </si>
  <si>
    <t xml:space="preserve">  Net Sale Proceeds to Equity</t>
  </si>
  <si>
    <t xml:space="preserve">Total Unlevered Cash Flow</t>
  </si>
  <si>
    <t xml:space="preserve">Total Levered Cash Flow</t>
  </si>
  <si>
    <t xml:space="preserve">Return Metrics</t>
  </si>
  <si>
    <t xml:space="preserve">Average Cash-on-Cash (operating)</t>
  </si>
  <si>
    <t xml:space="preserve">Year 1 Cash-on-Cash</t>
  </si>
  <si>
    <t xml:space="preserve">Annual Cash-on-Cash Return (levered, operating only)</t>
  </si>
  <si>
    <t xml:space="preserve">SENSITIVITY ANALYSIS — Levered IRR</t>
  </si>
  <si>
    <t xml:space="preserve">Table 1 — Exit Cap Rate (columns) x Rent Growth (rows) -&gt; Levered IRR</t>
  </si>
  <si>
    <t xml:space="preserve">Rent Growth ↓  /  Exit Cap →</t>
  </si>
  <si>
    <t xml:space="preserve">Table 2 — Purchase Price (columns) x Exit Cap Rate (rows) -&gt; Levered IRR</t>
  </si>
  <si>
    <t xml:space="preserve">Exit Cap ↓  /  Purchase Price →</t>
  </si>
  <si>
    <t xml:space="preserve">Calculation Detail — supporting Table 1 (do not edit; each scenario recomputes NOI, debt service and exit proceeds from live model assumptions)</t>
  </si>
  <si>
    <t xml:space="preserve">Scenario: Rent Growth = 2.0%</t>
  </si>
  <si>
    <t xml:space="preserve">  EGI</t>
  </si>
  <si>
    <t xml:space="preserve">  NOI</t>
  </si>
  <si>
    <t xml:space="preserve">  Levered CF (pre-sale)</t>
  </si>
  <si>
    <t xml:space="preserve">  CF @ Exit Cap 6.25%</t>
  </si>
  <si>
    <t xml:space="preserve">  CF @ Exit Cap 6.50%</t>
  </si>
  <si>
    <t xml:space="preserve">  CF @ Exit Cap 6.75%</t>
  </si>
  <si>
    <t xml:space="preserve">  CF @ Exit Cap 7.00%</t>
  </si>
  <si>
    <t xml:space="preserve">  CF @ Exit Cap 7.25%</t>
  </si>
  <si>
    <t xml:space="preserve">Scenario: Rent Growth = 2.5%</t>
  </si>
  <si>
    <t xml:space="preserve">Scenario: Rent Growth = 3.0%</t>
  </si>
  <si>
    <t xml:space="preserve">Scenario: Rent Growth = 3.5%</t>
  </si>
  <si>
    <t xml:space="preserve">Scenario: Rent Growth = 4.0%</t>
  </si>
  <si>
    <t xml:space="preserve">Calculation Detail — supporting Table 2 (do not edit; loan sized at fixed LTV, debt service and payoff recomputed per price scenario)</t>
  </si>
  <si>
    <t xml:space="preserve">Scenario: Purchase Price = $18,750,000</t>
  </si>
  <si>
    <t xml:space="preserve">  Loan Amount (at fixed LTV)</t>
  </si>
  <si>
    <t xml:space="preserve">  Equity Required</t>
  </si>
  <si>
    <t xml:space="preserve">  Monthly P&amp;I (post-IO)</t>
  </si>
  <si>
    <t xml:space="preserve">  Loan Balance at Exit (Yr 10)</t>
  </si>
  <si>
    <t xml:space="preserve">  Debt Service</t>
  </si>
  <si>
    <t xml:space="preserve">Scenario: Purchase Price = $19,250,000</t>
  </si>
  <si>
    <t xml:space="preserve">Scenario: Purchase Price = $19,750,000</t>
  </si>
  <si>
    <t xml:space="preserve">Scenario: Purchase Price = $20,250,000</t>
  </si>
  <si>
    <t xml:space="preserve">Scenario: Purchase Price = $20,750,000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</si>
</sst>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#,##0"/>
    <numFmt numFmtId="167" formatCode="\$#,##0;&quot;($&quot;#,##0\);\-"/>
    <numFmt numFmtId="168" formatCode="0.00%"/>
    <numFmt numFmtId="169" formatCode="0.0%"/>
    <numFmt numFmtId="170" formatCode="0.00\x"/>
    <numFmt numFmtId="171" formatCode="\$#,##0.00;&quot;($&quot;#,##0.00\);\-"/>
    <numFmt numFmtId="172" formatCode="0.000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name val="Arial"/>
      <family val="2"/>
    </font>
    <font>
      <i val="true"/>
      <sz val="9"/>
      <color rgb="FF808080"/>
      <name val="Arial"/>
      <family val="0"/>
      <charset val="1"/>
    </font>
    <font>
      <b val="true"/>
      <i val="true"/>
      <sz val="9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4472C4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DCE6F1"/>
        <bgColor rgb="FFD9D9D9"/>
      </patternFill>
    </fill>
    <fill>
      <patternFill patternType="solid">
        <fgColor rgb="FFD9D9D9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C55A11"/>
      <rgbColor rgb="FF666699"/>
      <rgbColor rgb="FF7F7F7F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"/>
    <col collapsed="false" customWidth="true" hidden="false" outlineLevel="0" max="3" min="3" style="1" width="20"/>
    <col collapsed="false" customWidth="true" hidden="false" outlineLevel="0" max="4" min="4" style="1" width="4"/>
    <col collapsed="false" customWidth="true" hidden="false" outlineLevel="0" max="5" min="5" style="1" width="34"/>
    <col collapsed="false" customWidth="true" hidden="false" outlineLevel="0" max="6" min="6" style="1" width="20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</row>
    <row r="3" customFormat="false" ht="18" hidden="false" customHeight="true" outlineLevel="0" collapsed="false">
      <c r="A3" s="3" t="s">
        <v>1</v>
      </c>
      <c r="B3" s="3"/>
      <c r="C3" s="3"/>
      <c r="D3" s="3"/>
      <c r="E3" s="3"/>
      <c r="F3" s="3"/>
    </row>
    <row r="4" customFormat="false" ht="15" hidden="false" customHeight="true" outlineLevel="0" collapsed="false">
      <c r="A4" s="4" t="s">
        <v>2</v>
      </c>
      <c r="C4" s="5" t="s">
        <v>3</v>
      </c>
    </row>
    <row r="5" customFormat="false" ht="15" hidden="false" customHeight="true" outlineLevel="0" collapsed="false">
      <c r="A5" s="4" t="s">
        <v>4</v>
      </c>
      <c r="C5" s="5" t="s">
        <v>5</v>
      </c>
    </row>
    <row r="6" customFormat="false" ht="15" hidden="false" customHeight="true" outlineLevel="0" collapsed="false">
      <c r="A6" s="4" t="s">
        <v>6</v>
      </c>
      <c r="C6" s="5" t="s">
        <v>7</v>
      </c>
    </row>
    <row r="7" customFormat="false" ht="15" hidden="false" customHeight="true" outlineLevel="0" collapsed="false">
      <c r="A7" s="4" t="s">
        <v>8</v>
      </c>
      <c r="C7" s="6" t="n">
        <v>1961</v>
      </c>
    </row>
    <row r="8" customFormat="false" ht="15" hidden="false" customHeight="true" outlineLevel="0" collapsed="false">
      <c r="A8" s="4" t="s">
        <v>9</v>
      </c>
      <c r="C8" s="7" t="n">
        <f aca="false">Operations!$B$7</f>
        <v>64</v>
      </c>
    </row>
    <row r="9" customFormat="false" ht="15" hidden="false" customHeight="true" outlineLevel="0" collapsed="false">
      <c r="A9" s="8" t="s">
        <v>10</v>
      </c>
      <c r="C9" s="9" t="n">
        <v>19750000</v>
      </c>
    </row>
    <row r="10" customFormat="false" ht="15" hidden="false" customHeight="true" outlineLevel="0" collapsed="false">
      <c r="A10" s="4" t="s">
        <v>11</v>
      </c>
      <c r="C10" s="10" t="n">
        <f aca="false">C9/C8</f>
        <v>308593.75</v>
      </c>
    </row>
    <row r="11" customFormat="false" ht="15" hidden="false" customHeight="true" outlineLevel="0" collapsed="false">
      <c r="A11" s="4" t="s">
        <v>12</v>
      </c>
      <c r="C11" s="11" t="n">
        <v>0.015</v>
      </c>
    </row>
    <row r="12" customFormat="false" ht="15" hidden="false" customHeight="true" outlineLevel="0" collapsed="false">
      <c r="A12" s="4" t="s">
        <v>13</v>
      </c>
      <c r="C12" s="10" t="n">
        <f aca="false">C9*C11</f>
        <v>296250</v>
      </c>
    </row>
    <row r="13" customFormat="false" ht="15" hidden="false" customHeight="true" outlineLevel="0" collapsed="false">
      <c r="A13" s="4" t="s">
        <v>14</v>
      </c>
      <c r="C13" s="11" t="n">
        <v>0.01</v>
      </c>
    </row>
    <row r="14" customFormat="false" ht="15" hidden="false" customHeight="true" outlineLevel="0" collapsed="false">
      <c r="A14" s="4" t="s">
        <v>15</v>
      </c>
      <c r="C14" s="10" t="n">
        <f aca="false">Debt!$B$5*C13</f>
        <v>133000</v>
      </c>
    </row>
    <row r="15" customFormat="false" ht="15" hidden="false" customHeight="true" outlineLevel="0" collapsed="false">
      <c r="A15" s="8" t="s">
        <v>16</v>
      </c>
      <c r="C15" s="12" t="n">
        <f aca="false">C9+C12+C14</f>
        <v>20179250</v>
      </c>
    </row>
    <row r="16" customFormat="false" ht="15" hidden="false" customHeight="true" outlineLevel="0" collapsed="false">
      <c r="A16" s="8" t="s">
        <v>17</v>
      </c>
      <c r="C16" s="13" t="n">
        <f aca="false">Operations!$C$42/C9</f>
        <v>0.0584858734177215</v>
      </c>
    </row>
    <row r="17" customFormat="false" ht="15" hidden="false" customHeight="true" outlineLevel="0" collapsed="false">
      <c r="A17" s="4" t="s">
        <v>18</v>
      </c>
      <c r="C17" s="14" t="n">
        <f aca="false">Debt!$B$5</f>
        <v>13300000</v>
      </c>
    </row>
    <row r="18" customFormat="false" ht="15" hidden="false" customHeight="true" outlineLevel="0" collapsed="false">
      <c r="A18" s="4" t="s">
        <v>19</v>
      </c>
      <c r="C18" s="15" t="n">
        <f aca="false">C17/C9</f>
        <v>0.673417721518987</v>
      </c>
    </row>
    <row r="19" customFormat="false" ht="15" hidden="false" customHeight="true" outlineLevel="0" collapsed="false">
      <c r="A19" s="8" t="s">
        <v>20</v>
      </c>
      <c r="C19" s="12" t="n">
        <f aca="false">C15-C17</f>
        <v>6879250</v>
      </c>
    </row>
    <row r="21" customFormat="false" ht="18" hidden="false" customHeight="true" outlineLevel="0" collapsed="false">
      <c r="A21" s="3" t="s">
        <v>21</v>
      </c>
      <c r="B21" s="3"/>
      <c r="C21" s="3"/>
      <c r="D21" s="3"/>
      <c r="E21" s="3"/>
      <c r="F21" s="3"/>
    </row>
    <row r="22" customFormat="false" ht="15" hidden="false" customHeight="true" outlineLevel="0" collapsed="false">
      <c r="A22" s="4" t="s">
        <v>22</v>
      </c>
      <c r="C22" s="16" t="n">
        <f aca="false">CashFlow!$B$4</f>
        <v>0.0675</v>
      </c>
    </row>
    <row r="23" customFormat="false" ht="15" hidden="false" customHeight="true" outlineLevel="0" collapsed="false">
      <c r="A23" s="4" t="s">
        <v>23</v>
      </c>
      <c r="C23" s="17" t="n">
        <f aca="false">CashFlow!$B$6</f>
        <v>10</v>
      </c>
    </row>
    <row r="24" customFormat="false" ht="15" hidden="false" customHeight="true" outlineLevel="0" collapsed="false">
      <c r="A24" s="8" t="s">
        <v>24</v>
      </c>
      <c r="C24" s="18" t="n">
        <f aca="false">CashFlow!$B$27</f>
        <v>0.0741993622268743</v>
      </c>
    </row>
    <row r="25" customFormat="false" ht="15" hidden="false" customHeight="true" outlineLevel="0" collapsed="false">
      <c r="A25" s="8" t="s">
        <v>25</v>
      </c>
      <c r="C25" s="18" t="n">
        <f aca="false">CashFlow!$B$28</f>
        <v>0.100327872417679</v>
      </c>
    </row>
    <row r="26" customFormat="false" ht="15" hidden="false" customHeight="true" outlineLevel="0" collapsed="false">
      <c r="A26" s="8" t="s">
        <v>26</v>
      </c>
      <c r="C26" s="19" t="n">
        <f aca="false">CashFlow!$B$29</f>
        <v>2.27190957535235</v>
      </c>
    </row>
    <row r="27" customFormat="false" ht="15" hidden="false" customHeight="true" outlineLevel="0" collapsed="false">
      <c r="A27" s="4" t="s">
        <v>27</v>
      </c>
      <c r="C27" s="16" t="n">
        <f aca="false">CashFlow!$B$30</f>
        <v>0.0621032129822644</v>
      </c>
    </row>
    <row r="28" customFormat="false" ht="15" hidden="false" customHeight="true" outlineLevel="0" collapsed="false">
      <c r="A28" s="4" t="s">
        <v>28</v>
      </c>
      <c r="C28" s="20" t="n">
        <f aca="false">CashFlow!$B$32</f>
        <v>1.5564394858113</v>
      </c>
    </row>
    <row r="29" customFormat="false" ht="15" hidden="false" customHeight="true" outlineLevel="0" collapsed="false">
      <c r="A29" s="4" t="s">
        <v>29</v>
      </c>
      <c r="C29" s="16" t="n">
        <f aca="false">CashFlow!$B$33</f>
        <v>0.0868493233082707</v>
      </c>
    </row>
    <row r="31" customFormat="false" ht="13.5" hidden="false" customHeight="true" outlineLevel="0" collapsed="false">
      <c r="A31" s="21" t="s">
        <v>30</v>
      </c>
      <c r="B31" s="21"/>
      <c r="C31" s="21"/>
      <c r="D31" s="21"/>
      <c r="E31" s="21"/>
      <c r="F31" s="21"/>
    </row>
    <row r="32" customFormat="false" ht="15" hidden="false" customHeight="true" outlineLevel="0" collapsed="false">
      <c r="A32" s="21"/>
      <c r="B32" s="21"/>
      <c r="C32" s="21"/>
      <c r="D32" s="21"/>
      <c r="E32" s="21"/>
      <c r="F32" s="21"/>
    </row>
    <row r="33" customFormat="false" ht="15" hidden="false" customHeight="true" outlineLevel="0" collapsed="false">
      <c r="A33" s="21"/>
      <c r="B33" s="21"/>
      <c r="C33" s="21"/>
      <c r="D33" s="21"/>
      <c r="E33" s="21"/>
      <c r="F33" s="21"/>
    </row>
  </sheetData>
  <mergeCells count="4">
    <mergeCell ref="A1:F1"/>
    <mergeCell ref="A3:F3"/>
    <mergeCell ref="A21:F21"/>
    <mergeCell ref="A31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3" min="2" style="1" width="13"/>
  </cols>
  <sheetData>
    <row r="1" customFormat="false" ht="25.5" hidden="false" customHeight="true" outlineLevel="0" collapsed="false">
      <c r="A1" s="2" t="s">
        <v>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customFormat="false" ht="18" hidden="false" customHeight="true" outlineLevel="0" collapsed="false">
      <c r="A3" s="3" t="s">
        <v>32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23.25" hidden="false" customHeight="true" outlineLevel="0" collapsed="false">
      <c r="A4" s="22" t="s">
        <v>33</v>
      </c>
      <c r="B4" s="22" t="s">
        <v>34</v>
      </c>
      <c r="C4" s="22" t="s">
        <v>35</v>
      </c>
      <c r="D4" s="22" t="s">
        <v>36</v>
      </c>
      <c r="E4" s="22" t="s">
        <v>37</v>
      </c>
      <c r="F4" s="22" t="s">
        <v>38</v>
      </c>
      <c r="G4" s="22" t="s">
        <v>39</v>
      </c>
    </row>
    <row r="5" customFormat="false" ht="15" hidden="false" customHeight="true" outlineLevel="0" collapsed="false">
      <c r="A5" s="4" t="s">
        <v>40</v>
      </c>
      <c r="B5" s="5" t="n">
        <v>63</v>
      </c>
      <c r="C5" s="5" t="n">
        <v>850</v>
      </c>
      <c r="D5" s="9" t="n">
        <v>2450</v>
      </c>
      <c r="E5" s="23" t="n">
        <f aca="false">D5/C5</f>
        <v>2.88235294117647</v>
      </c>
      <c r="F5" s="10" t="n">
        <f aca="false">B5*D5</f>
        <v>154350</v>
      </c>
      <c r="G5" s="10" t="n">
        <f aca="false">F5*12</f>
        <v>1852200</v>
      </c>
    </row>
    <row r="6" customFormat="false" ht="15" hidden="false" customHeight="true" outlineLevel="0" collapsed="false">
      <c r="A6" s="4" t="s">
        <v>41</v>
      </c>
      <c r="B6" s="5" t="n">
        <v>1</v>
      </c>
      <c r="C6" s="5" t="n">
        <v>1100</v>
      </c>
      <c r="D6" s="9" t="n">
        <v>2950</v>
      </c>
      <c r="E6" s="23" t="n">
        <f aca="false">D6/C6</f>
        <v>2.68181818181818</v>
      </c>
      <c r="F6" s="10" t="n">
        <f aca="false">B6*D6</f>
        <v>2950</v>
      </c>
      <c r="G6" s="10" t="n">
        <f aca="false">F6*12</f>
        <v>35400</v>
      </c>
    </row>
    <row r="7" customFormat="false" ht="15" hidden="false" customHeight="true" outlineLevel="0" collapsed="false">
      <c r="A7" s="24" t="s">
        <v>42</v>
      </c>
      <c r="B7" s="25" t="n">
        <f aca="false">SUM(B5:B6)</f>
        <v>64</v>
      </c>
      <c r="C7" s="25" t="n">
        <f aca="false">SUMPRODUCT(B5:B6,C5:C6)/B7</f>
        <v>853.90625</v>
      </c>
      <c r="D7" s="12" t="n">
        <f aca="false">SUMPRODUCT(B5:B6,D5:D6)/B7</f>
        <v>2457.8125</v>
      </c>
      <c r="E7" s="26" t="n">
        <f aca="false">F7/SUMPRODUCT(B5:B6,C5:C6)</f>
        <v>2.87831655992681</v>
      </c>
      <c r="F7" s="12" t="n">
        <f aca="false">SUM(F5:F6)</f>
        <v>157300</v>
      </c>
      <c r="G7" s="12" t="n">
        <f aca="false">SUM(G5:G6)</f>
        <v>1887600</v>
      </c>
    </row>
    <row r="8" customFormat="false" ht="15" hidden="false" customHeight="true" outlineLevel="0" collapsed="false">
      <c r="A8" s="27" t="s">
        <v>43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</row>
    <row r="10" customFormat="false" ht="18" hidden="false" customHeight="true" outlineLevel="0" collapsed="false">
      <c r="A10" s="3" t="s">
        <v>44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customFormat="false" ht="15" hidden="false" customHeight="true" outlineLevel="0" collapsed="false">
      <c r="A11" s="4" t="s">
        <v>45</v>
      </c>
      <c r="B11" s="11" t="n">
        <v>0.03</v>
      </c>
    </row>
    <row r="12" customFormat="false" ht="15" hidden="false" customHeight="true" outlineLevel="0" collapsed="false">
      <c r="A12" s="4" t="s">
        <v>46</v>
      </c>
      <c r="B12" s="11" t="n">
        <v>0.05</v>
      </c>
    </row>
    <row r="13" customFormat="false" ht="15" hidden="false" customHeight="true" outlineLevel="0" collapsed="false">
      <c r="A13" s="4" t="s">
        <v>47</v>
      </c>
      <c r="B13" s="9" t="n">
        <v>35</v>
      </c>
    </row>
    <row r="14" customFormat="false" ht="15" hidden="false" customHeight="true" outlineLevel="0" collapsed="false">
      <c r="A14" s="4" t="s">
        <v>48</v>
      </c>
      <c r="B14" s="11" t="n">
        <v>0.03</v>
      </c>
    </row>
    <row r="15" customFormat="false" ht="15" hidden="false" customHeight="true" outlineLevel="0" collapsed="false">
      <c r="A15" s="4" t="s">
        <v>49</v>
      </c>
      <c r="B15" s="11" t="n">
        <v>0.02</v>
      </c>
    </row>
    <row r="16" customFormat="false" ht="15" hidden="false" customHeight="true" outlineLevel="0" collapsed="false">
      <c r="A16" s="4" t="s">
        <v>50</v>
      </c>
      <c r="B16" s="11" t="n">
        <v>0.04</v>
      </c>
    </row>
    <row r="17" customFormat="false" ht="15" hidden="false" customHeight="true" outlineLevel="0" collapsed="false">
      <c r="A17" s="4" t="s">
        <v>51</v>
      </c>
      <c r="B17" s="9" t="n">
        <v>400</v>
      </c>
    </row>
    <row r="19" customFormat="false" ht="18" hidden="false" customHeight="true" outlineLevel="0" collapsed="false">
      <c r="A19" s="3" t="s">
        <v>52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customFormat="false" ht="15" hidden="false" customHeight="true" outlineLevel="0" collapsed="false">
      <c r="A20" s="4" t="s">
        <v>53</v>
      </c>
      <c r="B20" s="11" t="n">
        <v>0.012</v>
      </c>
    </row>
    <row r="21" customFormat="false" ht="15" hidden="false" customHeight="true" outlineLevel="0" collapsed="false">
      <c r="A21" s="4" t="s">
        <v>54</v>
      </c>
      <c r="B21" s="9" t="n">
        <v>950</v>
      </c>
    </row>
    <row r="22" customFormat="false" ht="15" hidden="false" customHeight="true" outlineLevel="0" collapsed="false">
      <c r="A22" s="4" t="s">
        <v>55</v>
      </c>
      <c r="B22" s="9" t="n">
        <v>1800</v>
      </c>
    </row>
    <row r="23" customFormat="false" ht="15" hidden="false" customHeight="true" outlineLevel="0" collapsed="false">
      <c r="A23" s="4" t="s">
        <v>56</v>
      </c>
      <c r="B23" s="9" t="n">
        <v>1500</v>
      </c>
    </row>
    <row r="24" customFormat="false" ht="15" hidden="false" customHeight="true" outlineLevel="0" collapsed="false">
      <c r="A24" s="4" t="s">
        <v>57</v>
      </c>
      <c r="B24" s="9" t="n">
        <v>400</v>
      </c>
    </row>
    <row r="25" customFormat="false" ht="15" hidden="false" customHeight="true" outlineLevel="0" collapsed="false">
      <c r="A25" s="4" t="s">
        <v>58</v>
      </c>
      <c r="B25" s="9" t="n">
        <v>900</v>
      </c>
    </row>
    <row r="27" customFormat="false" ht="18" hidden="false" customHeight="true" outlineLevel="0" collapsed="false">
      <c r="A27" s="3" t="s">
        <v>59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customFormat="false" ht="15" hidden="false" customHeight="true" outlineLevel="0" collapsed="false">
      <c r="A28" s="28" t="s">
        <v>60</v>
      </c>
      <c r="C28" s="29" t="s">
        <v>61</v>
      </c>
      <c r="D28" s="29" t="s">
        <v>62</v>
      </c>
      <c r="E28" s="29" t="s">
        <v>63</v>
      </c>
      <c r="F28" s="29" t="s">
        <v>64</v>
      </c>
      <c r="G28" s="29" t="s">
        <v>65</v>
      </c>
      <c r="H28" s="29" t="s">
        <v>66</v>
      </c>
      <c r="I28" s="29" t="s">
        <v>67</v>
      </c>
      <c r="J28" s="29" t="s">
        <v>68</v>
      </c>
      <c r="K28" s="29" t="s">
        <v>69</v>
      </c>
      <c r="L28" s="29" t="s">
        <v>70</v>
      </c>
    </row>
    <row r="29" customFormat="false" ht="15" hidden="false" customHeight="true" outlineLevel="0" collapsed="false">
      <c r="A29" s="4" t="s">
        <v>71</v>
      </c>
      <c r="C29" s="30" t="n">
        <f aca="false">$G$7</f>
        <v>1887600</v>
      </c>
      <c r="D29" s="30" t="n">
        <f aca="false">C29*(1+$B$11)</f>
        <v>1944228</v>
      </c>
      <c r="E29" s="30" t="n">
        <f aca="false">D29*(1+$B$11)</f>
        <v>2002554.84</v>
      </c>
      <c r="F29" s="30" t="n">
        <f aca="false">E29*(1+$B$11)</f>
        <v>2062631.4852</v>
      </c>
      <c r="G29" s="30" t="n">
        <f aca="false">F29*(1+$B$11)</f>
        <v>2124510.429756</v>
      </c>
      <c r="H29" s="30" t="n">
        <f aca="false">G29*(1+$B$11)</f>
        <v>2188245.74264868</v>
      </c>
      <c r="I29" s="30" t="n">
        <f aca="false">H29*(1+$B$11)</f>
        <v>2253893.11492814</v>
      </c>
      <c r="J29" s="30" t="n">
        <f aca="false">I29*(1+$B$11)</f>
        <v>2321509.90837599</v>
      </c>
      <c r="K29" s="30" t="n">
        <f aca="false">J29*(1+$B$11)</f>
        <v>2391155.20562726</v>
      </c>
      <c r="L29" s="30" t="n">
        <f aca="false">K29*(1+$B$11)</f>
        <v>2462889.86179608</v>
      </c>
    </row>
    <row r="30" customFormat="false" ht="15" hidden="false" customHeight="true" outlineLevel="0" collapsed="false">
      <c r="A30" s="4" t="s">
        <v>72</v>
      </c>
      <c r="C30" s="30" t="n">
        <f aca="false">-C29*$B$12</f>
        <v>-94380</v>
      </c>
      <c r="D30" s="30" t="n">
        <f aca="false">-D29*$B$12</f>
        <v>-97211.4</v>
      </c>
      <c r="E30" s="30" t="n">
        <f aca="false">-E29*$B$12</f>
        <v>-100127.742</v>
      </c>
      <c r="F30" s="30" t="n">
        <f aca="false">-F29*$B$12</f>
        <v>-103131.57426</v>
      </c>
      <c r="G30" s="30" t="n">
        <f aca="false">-G29*$B$12</f>
        <v>-106225.5214878</v>
      </c>
      <c r="H30" s="30" t="n">
        <f aca="false">-H29*$B$12</f>
        <v>-109412.287132434</v>
      </c>
      <c r="I30" s="30" t="n">
        <f aca="false">-I29*$B$12</f>
        <v>-112694.655746407</v>
      </c>
      <c r="J30" s="30" t="n">
        <f aca="false">-J29*$B$12</f>
        <v>-116075.495418799</v>
      </c>
      <c r="K30" s="30" t="n">
        <f aca="false">-K29*$B$12</f>
        <v>-119557.760281363</v>
      </c>
      <c r="L30" s="30" t="n">
        <f aca="false">-L29*$B$12</f>
        <v>-123144.493089804</v>
      </c>
    </row>
    <row r="31" customFormat="false" ht="15" hidden="false" customHeight="true" outlineLevel="0" collapsed="false">
      <c r="A31" s="4" t="s">
        <v>73</v>
      </c>
      <c r="C31" s="30" t="n">
        <f aca="false">$B$13*$B$7*12</f>
        <v>26880</v>
      </c>
      <c r="D31" s="30" t="n">
        <f aca="false">C31*(1+$B$11)</f>
        <v>27686.4</v>
      </c>
      <c r="E31" s="30" t="n">
        <f aca="false">D31*(1+$B$11)</f>
        <v>28516.992</v>
      </c>
      <c r="F31" s="30" t="n">
        <f aca="false">E31*(1+$B$11)</f>
        <v>29372.50176</v>
      </c>
      <c r="G31" s="30" t="n">
        <f aca="false">F31*(1+$B$11)</f>
        <v>30253.6768128</v>
      </c>
      <c r="H31" s="30" t="n">
        <f aca="false">G31*(1+$B$11)</f>
        <v>31161.287117184</v>
      </c>
      <c r="I31" s="30" t="n">
        <f aca="false">H31*(1+$B$11)</f>
        <v>32096.1257306995</v>
      </c>
      <c r="J31" s="30" t="n">
        <f aca="false">I31*(1+$B$11)</f>
        <v>33059.0095026205</v>
      </c>
      <c r="K31" s="30" t="n">
        <f aca="false">J31*(1+$B$11)</f>
        <v>34050.7797876991</v>
      </c>
      <c r="L31" s="30" t="n">
        <f aca="false">K31*(1+$B$11)</f>
        <v>35072.3031813301</v>
      </c>
    </row>
    <row r="32" customFormat="false" ht="15" hidden="false" customHeight="true" outlineLevel="0" collapsed="false">
      <c r="A32" s="8" t="s">
        <v>74</v>
      </c>
      <c r="B32" s="31"/>
      <c r="C32" s="32" t="n">
        <f aca="false">C29+C30+C31</f>
        <v>1820100</v>
      </c>
      <c r="D32" s="32" t="n">
        <f aca="false">D29+D30+D31</f>
        <v>1874703</v>
      </c>
      <c r="E32" s="32" t="n">
        <f aca="false">E29+E30+E31</f>
        <v>1930944.09</v>
      </c>
      <c r="F32" s="32" t="n">
        <f aca="false">F29+F30+F31</f>
        <v>1988872.4127</v>
      </c>
      <c r="G32" s="32" t="n">
        <f aca="false">G29+G30+G31</f>
        <v>2048538.585081</v>
      </c>
      <c r="H32" s="32" t="n">
        <f aca="false">H29+H30+H31</f>
        <v>2109994.74263343</v>
      </c>
      <c r="I32" s="32" t="n">
        <f aca="false">I29+I30+I31</f>
        <v>2173294.58491243</v>
      </c>
      <c r="J32" s="32" t="n">
        <f aca="false">J29+J30+J31</f>
        <v>2238493.42245981</v>
      </c>
      <c r="K32" s="32" t="n">
        <f aca="false">K29+K30+K31</f>
        <v>2305648.2251336</v>
      </c>
      <c r="L32" s="32" t="n">
        <f aca="false">L29+L30+L31</f>
        <v>2374817.67188761</v>
      </c>
    </row>
    <row r="33" customFormat="false" ht="15" hidden="false" customHeight="true" outlineLevel="0" collapsed="false">
      <c r="A33" s="33" t="s">
        <v>75</v>
      </c>
    </row>
    <row r="34" customFormat="false" ht="15" hidden="false" customHeight="true" outlineLevel="0" collapsed="false">
      <c r="A34" s="4" t="s">
        <v>76</v>
      </c>
      <c r="C34" s="30" t="n">
        <f aca="false">$B$20*Summary!$C$9</f>
        <v>237000</v>
      </c>
      <c r="D34" s="30" t="n">
        <f aca="false">C34*(1+$B$15)</f>
        <v>241740</v>
      </c>
      <c r="E34" s="30" t="n">
        <f aca="false">D34*(1+$B$15)</f>
        <v>246574.8</v>
      </c>
      <c r="F34" s="30" t="n">
        <f aca="false">E34*(1+$B$15)</f>
        <v>251506.296</v>
      </c>
      <c r="G34" s="30" t="n">
        <f aca="false">F34*(1+$B$15)</f>
        <v>256536.42192</v>
      </c>
      <c r="H34" s="30" t="n">
        <f aca="false">G34*(1+$B$15)</f>
        <v>261667.1503584</v>
      </c>
      <c r="I34" s="30" t="n">
        <f aca="false">H34*(1+$B$15)</f>
        <v>266900.493365568</v>
      </c>
      <c r="J34" s="30" t="n">
        <f aca="false">I34*(1+$B$15)</f>
        <v>272238.503232879</v>
      </c>
      <c r="K34" s="30" t="n">
        <f aca="false">J34*(1+$B$15)</f>
        <v>277683.273297537</v>
      </c>
      <c r="L34" s="30" t="n">
        <f aca="false">K34*(1+$B$15)</f>
        <v>283236.938763488</v>
      </c>
    </row>
    <row r="35" customFormat="false" ht="15" hidden="false" customHeight="true" outlineLevel="0" collapsed="false">
      <c r="A35" s="4" t="s">
        <v>77</v>
      </c>
      <c r="C35" s="30" t="n">
        <f aca="false">$B$21*$B$7</f>
        <v>60800</v>
      </c>
      <c r="D35" s="30" t="n">
        <f aca="false">C35*(1+$B$14)</f>
        <v>62624</v>
      </c>
      <c r="E35" s="30" t="n">
        <f aca="false">D35*(1+$B$14)</f>
        <v>64502.72</v>
      </c>
      <c r="F35" s="30" t="n">
        <f aca="false">E35*(1+$B$14)</f>
        <v>66437.8016</v>
      </c>
      <c r="G35" s="30" t="n">
        <f aca="false">F35*(1+$B$14)</f>
        <v>68430.935648</v>
      </c>
      <c r="H35" s="30" t="n">
        <f aca="false">G35*(1+$B$14)</f>
        <v>70483.86371744</v>
      </c>
      <c r="I35" s="30" t="n">
        <f aca="false">H35*(1+$B$14)</f>
        <v>72598.3796289632</v>
      </c>
      <c r="J35" s="30" t="n">
        <f aca="false">I35*(1+$B$14)</f>
        <v>74776.3310178321</v>
      </c>
      <c r="K35" s="30" t="n">
        <f aca="false">J35*(1+$B$14)</f>
        <v>77019.6209483671</v>
      </c>
      <c r="L35" s="30" t="n">
        <f aca="false">K35*(1+$B$14)</f>
        <v>79330.2095768181</v>
      </c>
    </row>
    <row r="36" customFormat="false" ht="15" hidden="false" customHeight="true" outlineLevel="0" collapsed="false">
      <c r="A36" s="4" t="s">
        <v>78</v>
      </c>
      <c r="C36" s="30" t="n">
        <f aca="false">$B$22*$B$7</f>
        <v>115200</v>
      </c>
      <c r="D36" s="30" t="n">
        <f aca="false">C36*(1+$B$14)</f>
        <v>118656</v>
      </c>
      <c r="E36" s="30" t="n">
        <f aca="false">D36*(1+$B$14)</f>
        <v>122215.68</v>
      </c>
      <c r="F36" s="30" t="n">
        <f aca="false">E36*(1+$B$14)</f>
        <v>125882.1504</v>
      </c>
      <c r="G36" s="30" t="n">
        <f aca="false">F36*(1+$B$14)</f>
        <v>129658.614912</v>
      </c>
      <c r="H36" s="30" t="n">
        <f aca="false">G36*(1+$B$14)</f>
        <v>133548.37335936</v>
      </c>
      <c r="I36" s="30" t="n">
        <f aca="false">H36*(1+$B$14)</f>
        <v>137554.824560141</v>
      </c>
      <c r="J36" s="30" t="n">
        <f aca="false">I36*(1+$B$14)</f>
        <v>141681.469296945</v>
      </c>
      <c r="K36" s="30" t="n">
        <f aca="false">J36*(1+$B$14)</f>
        <v>145931.913375853</v>
      </c>
      <c r="L36" s="30" t="n">
        <f aca="false">K36*(1+$B$14)</f>
        <v>150309.870777129</v>
      </c>
    </row>
    <row r="37" customFormat="false" ht="15" hidden="false" customHeight="true" outlineLevel="0" collapsed="false">
      <c r="A37" s="4" t="s">
        <v>79</v>
      </c>
      <c r="C37" s="30" t="n">
        <f aca="false">$B$23*$B$7</f>
        <v>96000</v>
      </c>
      <c r="D37" s="30" t="n">
        <f aca="false">C37*(1+$B$14)</f>
        <v>98880</v>
      </c>
      <c r="E37" s="30" t="n">
        <f aca="false">D37*(1+$B$14)</f>
        <v>101846.4</v>
      </c>
      <c r="F37" s="30" t="n">
        <f aca="false">E37*(1+$B$14)</f>
        <v>104901.792</v>
      </c>
      <c r="G37" s="30" t="n">
        <f aca="false">F37*(1+$B$14)</f>
        <v>108048.84576</v>
      </c>
      <c r="H37" s="30" t="n">
        <f aca="false">G37*(1+$B$14)</f>
        <v>111290.3111328</v>
      </c>
      <c r="I37" s="30" t="n">
        <f aca="false">H37*(1+$B$14)</f>
        <v>114629.020466784</v>
      </c>
      <c r="J37" s="30" t="n">
        <f aca="false">I37*(1+$B$14)</f>
        <v>118067.891080788</v>
      </c>
      <c r="K37" s="30" t="n">
        <f aca="false">J37*(1+$B$14)</f>
        <v>121609.927813211</v>
      </c>
      <c r="L37" s="30" t="n">
        <f aca="false">K37*(1+$B$14)</f>
        <v>125258.225647608</v>
      </c>
    </row>
    <row r="38" customFormat="false" ht="15" hidden="false" customHeight="true" outlineLevel="0" collapsed="false">
      <c r="A38" s="4" t="s">
        <v>80</v>
      </c>
      <c r="C38" s="30" t="n">
        <f aca="false">$B$24*$B$7</f>
        <v>25600</v>
      </c>
      <c r="D38" s="30" t="n">
        <f aca="false">C38*(1+$B$14)</f>
        <v>26368</v>
      </c>
      <c r="E38" s="30" t="n">
        <f aca="false">D38*(1+$B$14)</f>
        <v>27159.04</v>
      </c>
      <c r="F38" s="30" t="n">
        <f aca="false">E38*(1+$B$14)</f>
        <v>27973.8112</v>
      </c>
      <c r="G38" s="30" t="n">
        <f aca="false">F38*(1+$B$14)</f>
        <v>28813.025536</v>
      </c>
      <c r="H38" s="30" t="n">
        <f aca="false">G38*(1+$B$14)</f>
        <v>29677.41630208</v>
      </c>
      <c r="I38" s="30" t="n">
        <f aca="false">H38*(1+$B$14)</f>
        <v>30567.7387911424</v>
      </c>
      <c r="J38" s="30" t="n">
        <f aca="false">I38*(1+$B$14)</f>
        <v>31484.7709548767</v>
      </c>
      <c r="K38" s="30" t="n">
        <f aca="false">J38*(1+$B$14)</f>
        <v>32429.314083523</v>
      </c>
      <c r="L38" s="30" t="n">
        <f aca="false">K38*(1+$B$14)</f>
        <v>33402.1935060287</v>
      </c>
    </row>
    <row r="39" customFormat="false" ht="15" hidden="false" customHeight="true" outlineLevel="0" collapsed="false">
      <c r="A39" s="4" t="s">
        <v>81</v>
      </c>
      <c r="C39" s="30" t="n">
        <f aca="false">$B$25*$B$7</f>
        <v>57600</v>
      </c>
      <c r="D39" s="30" t="n">
        <f aca="false">C39*(1+$B$14)</f>
        <v>59328</v>
      </c>
      <c r="E39" s="30" t="n">
        <f aca="false">D39*(1+$B$14)</f>
        <v>61107.84</v>
      </c>
      <c r="F39" s="30" t="n">
        <f aca="false">E39*(1+$B$14)</f>
        <v>62941.0752</v>
      </c>
      <c r="G39" s="30" t="n">
        <f aca="false">F39*(1+$B$14)</f>
        <v>64829.307456</v>
      </c>
      <c r="H39" s="30" t="n">
        <f aca="false">G39*(1+$B$14)</f>
        <v>66774.18667968</v>
      </c>
      <c r="I39" s="30" t="n">
        <f aca="false">H39*(1+$B$14)</f>
        <v>68777.4122800704</v>
      </c>
      <c r="J39" s="30" t="n">
        <f aca="false">I39*(1+$B$14)</f>
        <v>70840.7346484725</v>
      </c>
      <c r="K39" s="30" t="n">
        <f aca="false">J39*(1+$B$14)</f>
        <v>72965.9566879267</v>
      </c>
      <c r="L39" s="30" t="n">
        <f aca="false">K39*(1+$B$14)</f>
        <v>75154.9353885645</v>
      </c>
    </row>
    <row r="40" customFormat="false" ht="15" hidden="false" customHeight="true" outlineLevel="0" collapsed="false">
      <c r="A40" s="4" t="s">
        <v>82</v>
      </c>
      <c r="C40" s="30" t="n">
        <f aca="false">$B$16*C32</f>
        <v>72804</v>
      </c>
      <c r="D40" s="30" t="n">
        <f aca="false">$B$16*D32</f>
        <v>74988.12</v>
      </c>
      <c r="E40" s="30" t="n">
        <f aca="false">$B$16*E32</f>
        <v>77237.7636</v>
      </c>
      <c r="F40" s="30" t="n">
        <f aca="false">$B$16*F32</f>
        <v>79554.896508</v>
      </c>
      <c r="G40" s="30" t="n">
        <f aca="false">$B$16*G32</f>
        <v>81941.54340324</v>
      </c>
      <c r="H40" s="30" t="n">
        <f aca="false">$B$16*H32</f>
        <v>84399.7897053372</v>
      </c>
      <c r="I40" s="30" t="n">
        <f aca="false">$B$16*I32</f>
        <v>86931.7833964973</v>
      </c>
      <c r="J40" s="30" t="n">
        <f aca="false">$B$16*J32</f>
        <v>89539.7368983923</v>
      </c>
      <c r="K40" s="30" t="n">
        <f aca="false">$B$16*K32</f>
        <v>92225.929005344</v>
      </c>
      <c r="L40" s="30" t="n">
        <f aca="false">$B$16*L32</f>
        <v>94992.7068755043</v>
      </c>
    </row>
    <row r="41" customFormat="false" ht="15" hidden="false" customHeight="true" outlineLevel="0" collapsed="false">
      <c r="A41" s="8" t="s">
        <v>83</v>
      </c>
      <c r="B41" s="31"/>
      <c r="C41" s="32" t="n">
        <f aca="false">SUM(C34:C39)+C40</f>
        <v>665004</v>
      </c>
      <c r="D41" s="32" t="n">
        <f aca="false">SUM(D34:D39)+D40</f>
        <v>682584.12</v>
      </c>
      <c r="E41" s="32" t="n">
        <f aca="false">SUM(E34:E39)+E40</f>
        <v>700644.2436</v>
      </c>
      <c r="F41" s="32" t="n">
        <f aca="false">SUM(F34:F39)+F40</f>
        <v>719197.822908</v>
      </c>
      <c r="G41" s="32" t="n">
        <f aca="false">SUM(G34:G39)+G40</f>
        <v>738258.69463524</v>
      </c>
      <c r="H41" s="32" t="n">
        <f aca="false">SUM(H34:H39)+H40</f>
        <v>757841.091255097</v>
      </c>
      <c r="I41" s="32" t="n">
        <f aca="false">SUM(I34:I39)+I40</f>
        <v>777959.652489166</v>
      </c>
      <c r="J41" s="32" t="n">
        <f aca="false">SUM(J34:J39)+J40</f>
        <v>798629.437130185</v>
      </c>
      <c r="K41" s="32" t="n">
        <f aca="false">SUM(K34:K39)+K40</f>
        <v>819865.935211762</v>
      </c>
      <c r="L41" s="32" t="n">
        <f aca="false">SUM(L34:L39)+L40</f>
        <v>841685.08053514</v>
      </c>
    </row>
    <row r="42" customFormat="false" ht="15" hidden="false" customHeight="true" outlineLevel="0" collapsed="false">
      <c r="A42" s="8" t="s">
        <v>84</v>
      </c>
      <c r="B42" s="31"/>
      <c r="C42" s="32" t="n">
        <f aca="false">C32-C41</f>
        <v>1155096</v>
      </c>
      <c r="D42" s="32" t="n">
        <f aca="false">D32-D41</f>
        <v>1192118.88</v>
      </c>
      <c r="E42" s="32" t="n">
        <f aca="false">E32-E41</f>
        <v>1230299.8464</v>
      </c>
      <c r="F42" s="32" t="n">
        <f aca="false">F32-F41</f>
        <v>1269674.589792</v>
      </c>
      <c r="G42" s="32" t="n">
        <f aca="false">G32-G41</f>
        <v>1310279.89044576</v>
      </c>
      <c r="H42" s="32" t="n">
        <f aca="false">H32-H41</f>
        <v>1352153.65137833</v>
      </c>
      <c r="I42" s="32" t="n">
        <f aca="false">I32-I41</f>
        <v>1395334.93242327</v>
      </c>
      <c r="J42" s="32" t="n">
        <f aca="false">J32-J41</f>
        <v>1439863.98532962</v>
      </c>
      <c r="K42" s="32" t="n">
        <f aca="false">K32-K41</f>
        <v>1485782.28992184</v>
      </c>
      <c r="L42" s="32" t="n">
        <f aca="false">L32-L41</f>
        <v>1533132.59135247</v>
      </c>
    </row>
    <row r="43" customFormat="false" ht="15" hidden="false" customHeight="true" outlineLevel="0" collapsed="false">
      <c r="A43" s="4" t="s">
        <v>85</v>
      </c>
      <c r="C43" s="30" t="n">
        <f aca="false">$B$17*$B$7</f>
        <v>25600</v>
      </c>
      <c r="D43" s="30" t="n">
        <f aca="false">C43*(1+$B$14)</f>
        <v>26368</v>
      </c>
      <c r="E43" s="30" t="n">
        <f aca="false">D43*(1+$B$14)</f>
        <v>27159.04</v>
      </c>
      <c r="F43" s="30" t="n">
        <f aca="false">E43*(1+$B$14)</f>
        <v>27973.8112</v>
      </c>
      <c r="G43" s="30" t="n">
        <f aca="false">F43*(1+$B$14)</f>
        <v>28813.025536</v>
      </c>
      <c r="H43" s="30" t="n">
        <f aca="false">G43*(1+$B$14)</f>
        <v>29677.41630208</v>
      </c>
      <c r="I43" s="30" t="n">
        <f aca="false">H43*(1+$B$14)</f>
        <v>30567.7387911424</v>
      </c>
      <c r="J43" s="30" t="n">
        <f aca="false">I43*(1+$B$14)</f>
        <v>31484.7709548767</v>
      </c>
      <c r="K43" s="30" t="n">
        <f aca="false">J43*(1+$B$14)</f>
        <v>32429.314083523</v>
      </c>
      <c r="L43" s="30" t="n">
        <f aca="false">K43*(1+$B$14)</f>
        <v>33402.1935060287</v>
      </c>
    </row>
    <row r="44" customFormat="false" ht="15" hidden="false" customHeight="true" outlineLevel="0" collapsed="false">
      <c r="A44" s="8" t="s">
        <v>86</v>
      </c>
      <c r="B44" s="31"/>
      <c r="C44" s="32" t="n">
        <f aca="false">C42-C43</f>
        <v>1129496</v>
      </c>
      <c r="D44" s="32" t="n">
        <f aca="false">D42-D43</f>
        <v>1165750.88</v>
      </c>
      <c r="E44" s="32" t="n">
        <f aca="false">E42-E43</f>
        <v>1203140.8064</v>
      </c>
      <c r="F44" s="32" t="n">
        <f aca="false">F42-F43</f>
        <v>1241700.778592</v>
      </c>
      <c r="G44" s="32" t="n">
        <f aca="false">G42-G43</f>
        <v>1281466.86490976</v>
      </c>
      <c r="H44" s="32" t="n">
        <f aca="false">H42-H43</f>
        <v>1322476.23507625</v>
      </c>
      <c r="I44" s="32" t="n">
        <f aca="false">I42-I43</f>
        <v>1364767.19363212</v>
      </c>
      <c r="J44" s="32" t="n">
        <f aca="false">J42-J43</f>
        <v>1408379.21437474</v>
      </c>
      <c r="K44" s="32" t="n">
        <f aca="false">K42-K43</f>
        <v>1453352.97583832</v>
      </c>
      <c r="L44" s="32" t="n">
        <f aca="false">L42-L43</f>
        <v>1499730.39784644</v>
      </c>
    </row>
  </sheetData>
  <mergeCells count="6">
    <mergeCell ref="A1:L1"/>
    <mergeCell ref="A3:L3"/>
    <mergeCell ref="A8:L8"/>
    <mergeCell ref="A10:L10"/>
    <mergeCell ref="A19:L19"/>
    <mergeCell ref="A27:L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L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13" min="2" style="1" width="13"/>
  </cols>
  <sheetData>
    <row r="1" customFormat="false" ht="25.5" hidden="false" customHeight="true" outlineLevel="0" collapsed="false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customFormat="false" ht="18" hidden="false" customHeight="true" outlineLevel="0" collapsed="false">
      <c r="A3" s="3" t="s">
        <v>88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" hidden="false" customHeight="true" outlineLevel="0" collapsed="false">
      <c r="A4" s="4" t="s">
        <v>89</v>
      </c>
      <c r="B4" s="14" t="n">
        <f aca="false">Summary!$C$9</f>
        <v>19750000</v>
      </c>
    </row>
    <row r="5" customFormat="false" ht="15" hidden="false" customHeight="true" outlineLevel="0" collapsed="false">
      <c r="A5" s="4" t="s">
        <v>90</v>
      </c>
      <c r="B5" s="9" t="n">
        <v>13300000</v>
      </c>
    </row>
    <row r="6" customFormat="false" ht="15" hidden="false" customHeight="true" outlineLevel="0" collapsed="false">
      <c r="A6" s="4" t="s">
        <v>91</v>
      </c>
      <c r="B6" s="15" t="n">
        <f aca="false">B5/B4</f>
        <v>0.673417721518987</v>
      </c>
    </row>
    <row r="7" customFormat="false" ht="15" hidden="false" customHeight="true" outlineLevel="0" collapsed="false">
      <c r="A7" s="4" t="s">
        <v>92</v>
      </c>
      <c r="B7" s="11" t="n">
        <v>0.0558</v>
      </c>
    </row>
    <row r="8" customFormat="false" ht="15" hidden="false" customHeight="true" outlineLevel="0" collapsed="false">
      <c r="A8" s="4" t="s">
        <v>93</v>
      </c>
      <c r="B8" s="34" t="n">
        <f aca="false">B7/12</f>
        <v>0.00465</v>
      </c>
    </row>
    <row r="9" customFormat="false" ht="15" hidden="false" customHeight="true" outlineLevel="0" collapsed="false">
      <c r="A9" s="4" t="s">
        <v>94</v>
      </c>
      <c r="B9" s="6" t="n">
        <v>2</v>
      </c>
    </row>
    <row r="10" customFormat="false" ht="15" hidden="false" customHeight="true" outlineLevel="0" collapsed="false">
      <c r="A10" s="4" t="s">
        <v>95</v>
      </c>
      <c r="B10" s="6" t="n">
        <v>30</v>
      </c>
    </row>
    <row r="11" customFormat="false" ht="15" hidden="false" customHeight="true" outlineLevel="0" collapsed="false">
      <c r="A11" s="4" t="s">
        <v>96</v>
      </c>
      <c r="B11" s="35" t="n">
        <f aca="false">B10*12</f>
        <v>360</v>
      </c>
    </row>
    <row r="12" customFormat="false" ht="15" hidden="false" customHeight="true" outlineLevel="0" collapsed="false">
      <c r="A12" s="4" t="s">
        <v>97</v>
      </c>
      <c r="B12" s="23" t="n">
        <f aca="false">-PMT(B8,B11,B5)</f>
        <v>76184.8548707002</v>
      </c>
    </row>
    <row r="13" customFormat="false" ht="15" hidden="false" customHeight="true" outlineLevel="0" collapsed="false">
      <c r="A13" s="4" t="s">
        <v>23</v>
      </c>
      <c r="B13" s="6" t="n">
        <v>10</v>
      </c>
    </row>
    <row r="15" customFormat="false" ht="18" hidden="false" customHeight="true" outlineLevel="0" collapsed="false">
      <c r="A15" s="3" t="s">
        <v>98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customFormat="false" ht="15" hidden="false" customHeight="true" outlineLevel="0" collapsed="false">
      <c r="C16" s="29" t="s">
        <v>61</v>
      </c>
      <c r="D16" s="29" t="s">
        <v>62</v>
      </c>
      <c r="E16" s="29" t="s">
        <v>63</v>
      </c>
      <c r="F16" s="29" t="s">
        <v>64</v>
      </c>
      <c r="G16" s="29" t="s">
        <v>65</v>
      </c>
      <c r="H16" s="29" t="s">
        <v>66</v>
      </c>
      <c r="I16" s="29" t="s">
        <v>67</v>
      </c>
      <c r="J16" s="29" t="s">
        <v>68</v>
      </c>
      <c r="K16" s="29" t="s">
        <v>69</v>
      </c>
      <c r="L16" s="29" t="s">
        <v>70</v>
      </c>
    </row>
    <row r="17" customFormat="false" ht="15" hidden="false" customHeight="true" outlineLevel="0" collapsed="false">
      <c r="A17" s="4" t="s">
        <v>99</v>
      </c>
      <c r="C17" s="30" t="n">
        <f aca="false">$B$5</f>
        <v>13300000</v>
      </c>
      <c r="D17" s="30" t="n">
        <f aca="false">C21</f>
        <v>13300000</v>
      </c>
      <c r="E17" s="30" t="n">
        <f aca="false">D21</f>
        <v>13300000</v>
      </c>
      <c r="F17" s="30" t="n">
        <f aca="false">E21</f>
        <v>13123451.9070917</v>
      </c>
      <c r="G17" s="30" t="n">
        <f aca="false">F21</f>
        <v>12936796.5350884</v>
      </c>
      <c r="H17" s="30" t="n">
        <f aca="false">G21</f>
        <v>12739455.2479425</v>
      </c>
      <c r="I17" s="30" t="n">
        <f aca="false">H21</f>
        <v>12530816.2830178</v>
      </c>
      <c r="J17" s="30" t="n">
        <f aca="false">I21</f>
        <v>12310232.854611</v>
      </c>
      <c r="K17" s="30" t="n">
        <f aca="false">J21</f>
        <v>12077021.1489008</v>
      </c>
      <c r="L17" s="30" t="n">
        <f aca="false">K21</f>
        <v>11830458.2041089</v>
      </c>
    </row>
    <row r="18" customFormat="false" ht="15" hidden="false" customHeight="true" outlineLevel="0" collapsed="false">
      <c r="A18" s="4" t="s">
        <v>100</v>
      </c>
      <c r="C18" s="30" t="n">
        <f aca="false">IF(1&lt;=$B$9,C17*$B$7,-CUMIPMT($B$8,$B$11,$B$5,(1-$B$9-1)*12+1,(1-$B$9)*12,0))</f>
        <v>742140</v>
      </c>
      <c r="D18" s="30" t="n">
        <f aca="false">IF(2&lt;=$B$9,D17*$B$7,-CUMIPMT($B$8,$B$11,$B$5,(2-$B$9-1)*12+1,(2-$B$9)*12,0))</f>
        <v>742140</v>
      </c>
      <c r="E18" s="30" t="n">
        <f aca="false">IF(3&lt;=$B$9,E17*$B$7,-CUMIPMT($B$8,$B$11,$B$5,(3-$B$9-1)*12+1,(3-$B$9)*12,0))</f>
        <v>737670.165540102</v>
      </c>
      <c r="F18" s="30" t="n">
        <f aca="false">IF(4&lt;=$B$9,F17*$B$7,-CUMIPMT($B$8,$B$11,$B$5,(4-$B$9-1)*12+1,(4-$B$9)*12,0))</f>
        <v>727562.886445137</v>
      </c>
      <c r="G18" s="30" t="n">
        <f aca="false">IF(5&lt;=$B$9,G17*$B$7,-CUMIPMT($B$8,$B$11,$B$5,(5-$B$9-1)*12+1,(5-$B$9)*12,0))</f>
        <v>716876.971302507</v>
      </c>
      <c r="H18" s="30" t="n">
        <f aca="false">IF(6&lt;=$B$9,H17*$B$7,-CUMIPMT($B$8,$B$11,$B$5,(6-$B$9-1)*12+1,(6-$B$9)*12,0))</f>
        <v>705579.293523688</v>
      </c>
      <c r="I18" s="30" t="n">
        <f aca="false">IF(7&lt;=$B$9,I17*$B$7,-CUMIPMT($B$8,$B$11,$B$5,(7-$B$9-1)*12+1,(7-$B$9)*12,0))</f>
        <v>693634.830041583</v>
      </c>
      <c r="J18" s="30" t="n">
        <f aca="false">IF(8&lt;=$B$9,J17*$B$7,-CUMIPMT($B$8,$B$11,$B$5,(8-$B$9-1)*12+1,(8-$B$9)*12,0))</f>
        <v>681006.552738187</v>
      </c>
      <c r="K18" s="30" t="n">
        <f aca="false">IF(9&lt;=$B$9,K17*$B$7,-CUMIPMT($B$8,$B$11,$B$5,(9-$B$9-1)*12+1,(9-$B$9)*12,0))</f>
        <v>667655.31365655</v>
      </c>
      <c r="L18" s="30" t="n">
        <f aca="false">IF(10&lt;=$B$9,L17*$B$7,-CUMIPMT($B$8,$B$11,$B$5,(10-$B$9-1)*12+1,(10-$B$9)*12,0))</f>
        <v>653539.723641189</v>
      </c>
    </row>
    <row r="19" customFormat="false" ht="15" hidden="false" customHeight="true" outlineLevel="0" collapsed="false">
      <c r="A19" s="4" t="s">
        <v>101</v>
      </c>
      <c r="C19" s="30" t="n">
        <f aca="false">IF(1&lt;=$B$9,0,-CUMPRINC($B$8,$B$11,$B$5,(1-$B$9-1)*12+1,(1-$B$9)*12,0))</f>
        <v>0</v>
      </c>
      <c r="D19" s="30" t="n">
        <f aca="false">IF(2&lt;=$B$9,0,-CUMPRINC($B$8,$B$11,$B$5,(2-$B$9-1)*12+1,(2-$B$9)*12,0))</f>
        <v>0</v>
      </c>
      <c r="E19" s="30" t="n">
        <f aca="false">IF(3&lt;=$B$9,0,-CUMPRINC($B$8,$B$11,$B$5,(3-$B$9-1)*12+1,(3-$B$9)*12,0))</f>
        <v>176548.0929083</v>
      </c>
      <c r="F19" s="30" t="n">
        <f aca="false">IF(4&lt;=$B$9,0,-CUMPRINC($B$8,$B$11,$B$5,(4-$B$9-1)*12+1,(4-$B$9)*12,0))</f>
        <v>186655.372003265</v>
      </c>
      <c r="G19" s="30" t="n">
        <f aca="false">IF(5&lt;=$B$9,0,-CUMPRINC($B$8,$B$11,$B$5,(5-$B$9-1)*12+1,(5-$B$9)*12,0))</f>
        <v>197341.287145895</v>
      </c>
      <c r="H19" s="30" t="n">
        <f aca="false">IF(6&lt;=$B$9,0,-CUMPRINC($B$8,$B$11,$B$5,(6-$B$9-1)*12+1,(6-$B$9)*12,0))</f>
        <v>208638.964924714</v>
      </c>
      <c r="I19" s="30" t="n">
        <f aca="false">IF(7&lt;=$B$9,0,-CUMPRINC($B$8,$B$11,$B$5,(7-$B$9-1)*12+1,(7-$B$9)*12,0))</f>
        <v>220583.428406819</v>
      </c>
      <c r="J19" s="30" t="n">
        <f aca="false">IF(8&lt;=$B$9,0,-CUMPRINC($B$8,$B$11,$B$5,(8-$B$9-1)*12+1,(8-$B$9)*12,0))</f>
        <v>233211.705710215</v>
      </c>
      <c r="K19" s="30" t="n">
        <f aca="false">IF(9&lt;=$B$9,0,-CUMPRINC($B$8,$B$11,$B$5,(9-$B$9-1)*12+1,(9-$B$9)*12,0))</f>
        <v>246562.944791852</v>
      </c>
      <c r="L19" s="30" t="n">
        <f aca="false">IF(10&lt;=$B$9,0,-CUMPRINC($B$8,$B$11,$B$5,(10-$B$9-1)*12+1,(10-$B$9)*12,0))</f>
        <v>260678.534807213</v>
      </c>
    </row>
    <row r="20" customFormat="false" ht="15" hidden="false" customHeight="true" outlineLevel="0" collapsed="false">
      <c r="A20" s="8" t="s">
        <v>102</v>
      </c>
      <c r="B20" s="31"/>
      <c r="C20" s="32" t="n">
        <f aca="false">C18+C19</f>
        <v>742140</v>
      </c>
      <c r="D20" s="32" t="n">
        <f aca="false">D18+D19</f>
        <v>742140</v>
      </c>
      <c r="E20" s="32" t="n">
        <f aca="false">E18+E19</f>
        <v>914218.258448402</v>
      </c>
      <c r="F20" s="32" t="n">
        <f aca="false">F18+F19</f>
        <v>914218.258448402</v>
      </c>
      <c r="G20" s="32" t="n">
        <f aca="false">G18+G19</f>
        <v>914218.258448402</v>
      </c>
      <c r="H20" s="32" t="n">
        <f aca="false">H18+H19</f>
        <v>914218.258448402</v>
      </c>
      <c r="I20" s="32" t="n">
        <f aca="false">I18+I19</f>
        <v>914218.258448402</v>
      </c>
      <c r="J20" s="32" t="n">
        <f aca="false">J18+J19</f>
        <v>914218.258448402</v>
      </c>
      <c r="K20" s="32" t="n">
        <f aca="false">K18+K19</f>
        <v>914218.258448402</v>
      </c>
      <c r="L20" s="32" t="n">
        <f aca="false">L18+L19</f>
        <v>914218.258448402</v>
      </c>
    </row>
    <row r="21" customFormat="false" ht="15" hidden="false" customHeight="true" outlineLevel="0" collapsed="false">
      <c r="A21" s="4" t="s">
        <v>103</v>
      </c>
      <c r="C21" s="30" t="n">
        <f aca="false">C17-C19</f>
        <v>13300000</v>
      </c>
      <c r="D21" s="30" t="n">
        <f aca="false">D17-D19</f>
        <v>13300000</v>
      </c>
      <c r="E21" s="30" t="n">
        <f aca="false">E17-E19</f>
        <v>13123451.9070917</v>
      </c>
      <c r="F21" s="30" t="n">
        <f aca="false">F17-F19</f>
        <v>12936796.5350884</v>
      </c>
      <c r="G21" s="30" t="n">
        <f aca="false">G17-G19</f>
        <v>12739455.2479425</v>
      </c>
      <c r="H21" s="30" t="n">
        <f aca="false">H17-H19</f>
        <v>12530816.2830178</v>
      </c>
      <c r="I21" s="30" t="n">
        <f aca="false">I17-I19</f>
        <v>12310232.854611</v>
      </c>
      <c r="J21" s="30" t="n">
        <f aca="false">J17-J19</f>
        <v>12077021.1489008</v>
      </c>
      <c r="K21" s="30" t="n">
        <f aca="false">K17-K19</f>
        <v>11830458.2041089</v>
      </c>
      <c r="L21" s="30" t="n">
        <f aca="false">L17-L19</f>
        <v>11569779.6693017</v>
      </c>
    </row>
    <row r="22" customFormat="false" ht="15" hidden="false" customHeight="true" outlineLevel="0" collapsed="false">
      <c r="A22" s="8" t="s">
        <v>104</v>
      </c>
      <c r="B22" s="31"/>
      <c r="C22" s="36" t="n">
        <f aca="false">Operations!C42/C20</f>
        <v>1.5564394858113</v>
      </c>
      <c r="D22" s="36" t="n">
        <f aca="false">Operations!D42/D20</f>
        <v>1.60632613792546</v>
      </c>
      <c r="E22" s="36" t="n">
        <f aca="false">Operations!E42/E20</f>
        <v>1.34573974543896</v>
      </c>
      <c r="F22" s="36" t="n">
        <f aca="false">Operations!F42/F20</f>
        <v>1.38880904866949</v>
      </c>
      <c r="G22" s="36" t="n">
        <f aca="false">Operations!G42/G20</f>
        <v>1.43322437321428</v>
      </c>
      <c r="H22" s="36" t="n">
        <f aca="false">Operations!H42/H20</f>
        <v>1.47902717855711</v>
      </c>
      <c r="I22" s="36" t="n">
        <f aca="false">Operations!I42/I20</f>
        <v>1.52626018954315</v>
      </c>
      <c r="J22" s="36" t="n">
        <f aca="false">Operations!J42/J20</f>
        <v>1.57496743477136</v>
      </c>
      <c r="K22" s="36" t="n">
        <f aca="false">Operations!K42/K20</f>
        <v>1.62519428614726</v>
      </c>
      <c r="L22" s="36" t="n">
        <f aca="false">Operations!L42/L20</f>
        <v>1.67698749963108</v>
      </c>
    </row>
    <row r="23" customFormat="false" ht="15" hidden="false" customHeight="true" outlineLevel="0" collapsed="false">
      <c r="A23" s="8" t="s">
        <v>105</v>
      </c>
      <c r="B23" s="31"/>
      <c r="C23" s="37" t="n">
        <f aca="false">Operations!C42/$B$5</f>
        <v>0.0868493233082707</v>
      </c>
      <c r="D23" s="37" t="n">
        <f aca="false">Operations!D42/$B$5</f>
        <v>0.0896329984962406</v>
      </c>
      <c r="E23" s="37" t="n">
        <f aca="false">Operations!E42/$B$5</f>
        <v>0.0925037478496241</v>
      </c>
      <c r="F23" s="37" t="n">
        <f aca="false">Operations!F42/$B$5</f>
        <v>0.095464254871579</v>
      </c>
      <c r="G23" s="37" t="n">
        <f aca="false">Operations!G42/$B$5</f>
        <v>0.0985172849959218</v>
      </c>
      <c r="H23" s="37" t="n">
        <f aca="false">Operations!H42/$B$5</f>
        <v>0.101665688073559</v>
      </c>
      <c r="I23" s="37" t="n">
        <f aca="false">Operations!I42/$B$5</f>
        <v>0.10491240093408</v>
      </c>
      <c r="J23" s="37" t="n">
        <f aca="false">Operations!J42/$B$5</f>
        <v>0.108260450024784</v>
      </c>
      <c r="K23" s="37" t="n">
        <f aca="false">Operations!K42/$B$5</f>
        <v>0.111712954129462</v>
      </c>
      <c r="L23" s="37" t="n">
        <f aca="false">Operations!L42/$B$5</f>
        <v>0.115273127169359</v>
      </c>
    </row>
  </sheetData>
  <mergeCells count="3">
    <mergeCell ref="A1:L1"/>
    <mergeCell ref="A3:L3"/>
    <mergeCell ref="A15:L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L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3"/>
  </cols>
  <sheetData>
    <row r="1" customFormat="false" ht="25.5" hidden="false" customHeight="true" outlineLevel="0" collapsed="false">
      <c r="A1" s="2" t="s">
        <v>106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customFormat="false" ht="18" hidden="false" customHeight="true" outlineLevel="0" collapsed="false">
      <c r="A3" s="3" t="s">
        <v>107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" hidden="false" customHeight="true" outlineLevel="0" collapsed="false">
      <c r="A4" s="4" t="s">
        <v>22</v>
      </c>
      <c r="B4" s="38" t="n">
        <v>0.0675</v>
      </c>
    </row>
    <row r="5" customFormat="false" ht="15" hidden="false" customHeight="true" outlineLevel="0" collapsed="false">
      <c r="A5" s="4" t="s">
        <v>108</v>
      </c>
      <c r="B5" s="38" t="n">
        <v>0.02</v>
      </c>
    </row>
    <row r="6" customFormat="false" ht="15" hidden="false" customHeight="true" outlineLevel="0" collapsed="false">
      <c r="A6" s="4" t="s">
        <v>23</v>
      </c>
      <c r="B6" s="17" t="n">
        <f aca="false">Debt!$B$13</f>
        <v>10</v>
      </c>
    </row>
    <row r="8" customFormat="false" ht="18" hidden="false" customHeight="true" outlineLevel="0" collapsed="false">
      <c r="A8" s="3" t="s">
        <v>109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customFormat="false" ht="15" hidden="false" customHeight="true" outlineLevel="0" collapsed="false">
      <c r="B9" s="29" t="s">
        <v>110</v>
      </c>
      <c r="C9" s="29" t="s">
        <v>61</v>
      </c>
      <c r="D9" s="29" t="s">
        <v>62</v>
      </c>
      <c r="E9" s="29" t="s">
        <v>63</v>
      </c>
      <c r="F9" s="29" t="s">
        <v>64</v>
      </c>
      <c r="G9" s="29" t="s">
        <v>65</v>
      </c>
      <c r="H9" s="29" t="s">
        <v>66</v>
      </c>
      <c r="I9" s="29" t="s">
        <v>67</v>
      </c>
      <c r="J9" s="29" t="s">
        <v>68</v>
      </c>
      <c r="K9" s="29" t="s">
        <v>69</v>
      </c>
      <c r="L9" s="29" t="s">
        <v>70</v>
      </c>
    </row>
    <row r="10" customFormat="false" ht="15" hidden="false" customHeight="true" outlineLevel="0" collapsed="false">
      <c r="A10" s="4" t="s">
        <v>84</v>
      </c>
      <c r="C10" s="39" t="n">
        <f aca="false">Operations!C42</f>
        <v>1155096</v>
      </c>
      <c r="D10" s="39" t="n">
        <f aca="false">Operations!D42</f>
        <v>1192118.88</v>
      </c>
      <c r="E10" s="39" t="n">
        <f aca="false">Operations!E42</f>
        <v>1230299.8464</v>
      </c>
      <c r="F10" s="39" t="n">
        <f aca="false">Operations!F42</f>
        <v>1269674.589792</v>
      </c>
      <c r="G10" s="39" t="n">
        <f aca="false">Operations!G42</f>
        <v>1310279.89044576</v>
      </c>
      <c r="H10" s="39" t="n">
        <f aca="false">Operations!H42</f>
        <v>1352153.65137833</v>
      </c>
      <c r="I10" s="39" t="n">
        <f aca="false">Operations!I42</f>
        <v>1395334.93242327</v>
      </c>
      <c r="J10" s="39" t="n">
        <f aca="false">Operations!J42</f>
        <v>1439863.98532962</v>
      </c>
      <c r="K10" s="39" t="n">
        <f aca="false">Operations!K42</f>
        <v>1485782.28992184</v>
      </c>
      <c r="L10" s="39" t="n">
        <f aca="false">Operations!L42</f>
        <v>1533132.59135247</v>
      </c>
    </row>
    <row r="11" customFormat="false" ht="15" hidden="false" customHeight="true" outlineLevel="0" collapsed="false">
      <c r="A11" s="4" t="s">
        <v>111</v>
      </c>
      <c r="C11" s="39" t="n">
        <f aca="false">Operations!C43</f>
        <v>25600</v>
      </c>
      <c r="D11" s="39" t="n">
        <f aca="false">Operations!D43</f>
        <v>26368</v>
      </c>
      <c r="E11" s="39" t="n">
        <f aca="false">Operations!E43</f>
        <v>27159.04</v>
      </c>
      <c r="F11" s="39" t="n">
        <f aca="false">Operations!F43</f>
        <v>27973.8112</v>
      </c>
      <c r="G11" s="39" t="n">
        <f aca="false">Operations!G43</f>
        <v>28813.025536</v>
      </c>
      <c r="H11" s="39" t="n">
        <f aca="false">Operations!H43</f>
        <v>29677.41630208</v>
      </c>
      <c r="I11" s="39" t="n">
        <f aca="false">Operations!I43</f>
        <v>30567.7387911424</v>
      </c>
      <c r="J11" s="39" t="n">
        <f aca="false">Operations!J43</f>
        <v>31484.7709548767</v>
      </c>
      <c r="K11" s="39" t="n">
        <f aca="false">Operations!K43</f>
        <v>32429.314083523</v>
      </c>
      <c r="L11" s="39" t="n">
        <f aca="false">Operations!L43</f>
        <v>33402.1935060287</v>
      </c>
    </row>
    <row r="12" customFormat="false" ht="15" hidden="false" customHeight="true" outlineLevel="0" collapsed="false">
      <c r="A12" s="8" t="s">
        <v>112</v>
      </c>
      <c r="C12" s="40" t="n">
        <f aca="false">C10-C11</f>
        <v>1129496</v>
      </c>
      <c r="D12" s="40" t="n">
        <f aca="false">D10-D11</f>
        <v>1165750.88</v>
      </c>
      <c r="E12" s="40" t="n">
        <f aca="false">E10-E11</f>
        <v>1203140.8064</v>
      </c>
      <c r="F12" s="40" t="n">
        <f aca="false">F10-F11</f>
        <v>1241700.778592</v>
      </c>
      <c r="G12" s="40" t="n">
        <f aca="false">G10-G11</f>
        <v>1281466.86490976</v>
      </c>
      <c r="H12" s="40" t="n">
        <f aca="false">H10-H11</f>
        <v>1322476.23507625</v>
      </c>
      <c r="I12" s="40" t="n">
        <f aca="false">I10-I11</f>
        <v>1364767.19363212</v>
      </c>
      <c r="J12" s="40" t="n">
        <f aca="false">J10-J11</f>
        <v>1408379.21437474</v>
      </c>
      <c r="K12" s="40" t="n">
        <f aca="false">K10-K11</f>
        <v>1453352.97583832</v>
      </c>
      <c r="L12" s="40" t="n">
        <f aca="false">L10-L11</f>
        <v>1499730.39784644</v>
      </c>
    </row>
    <row r="13" customFormat="false" ht="15" hidden="false" customHeight="true" outlineLevel="0" collapsed="false">
      <c r="A13" s="4" t="s">
        <v>113</v>
      </c>
      <c r="C13" s="39" t="n">
        <f aca="false">Debt!C20</f>
        <v>742140</v>
      </c>
      <c r="D13" s="39" t="n">
        <f aca="false">Debt!D20</f>
        <v>742140</v>
      </c>
      <c r="E13" s="39" t="n">
        <f aca="false">Debt!E20</f>
        <v>914218.258448402</v>
      </c>
      <c r="F13" s="39" t="n">
        <f aca="false">Debt!F20</f>
        <v>914218.258448402</v>
      </c>
      <c r="G13" s="39" t="n">
        <f aca="false">Debt!G20</f>
        <v>914218.258448402</v>
      </c>
      <c r="H13" s="39" t="n">
        <f aca="false">Debt!H20</f>
        <v>914218.258448402</v>
      </c>
      <c r="I13" s="39" t="n">
        <f aca="false">Debt!I20</f>
        <v>914218.258448402</v>
      </c>
      <c r="J13" s="39" t="n">
        <f aca="false">Debt!J20</f>
        <v>914218.258448402</v>
      </c>
      <c r="K13" s="39" t="n">
        <f aca="false">Debt!K20</f>
        <v>914218.258448402</v>
      </c>
      <c r="L13" s="39" t="n">
        <f aca="false">Debt!L20</f>
        <v>914218.258448402</v>
      </c>
    </row>
    <row r="14" customFormat="false" ht="15" hidden="false" customHeight="true" outlineLevel="0" collapsed="false">
      <c r="A14" s="8" t="s">
        <v>114</v>
      </c>
      <c r="C14" s="40" t="n">
        <f aca="false">C12-C13</f>
        <v>387356</v>
      </c>
      <c r="D14" s="40" t="n">
        <f aca="false">D12-D13</f>
        <v>423610.88</v>
      </c>
      <c r="E14" s="40" t="n">
        <f aca="false">E12-E13</f>
        <v>288922.547951598</v>
      </c>
      <c r="F14" s="40" t="n">
        <f aca="false">F12-F13</f>
        <v>327482.520143598</v>
      </c>
      <c r="G14" s="40" t="n">
        <f aca="false">G12-G13</f>
        <v>367248.606461358</v>
      </c>
      <c r="H14" s="40" t="n">
        <f aca="false">H12-H13</f>
        <v>408257.976627851</v>
      </c>
      <c r="I14" s="40" t="n">
        <f aca="false">I12-I13</f>
        <v>450548.935183723</v>
      </c>
      <c r="J14" s="40" t="n">
        <f aca="false">J12-J13</f>
        <v>494160.955926342</v>
      </c>
      <c r="K14" s="40" t="n">
        <f aca="false">K12-K13</f>
        <v>539134.717389914</v>
      </c>
      <c r="L14" s="40" t="n">
        <f aca="false">L12-L13</f>
        <v>585512.139398038</v>
      </c>
    </row>
    <row r="15" customFormat="false" ht="15" hidden="false" customHeight="true" outlineLevel="0" collapsed="false">
      <c r="A15" s="33" t="s">
        <v>115</v>
      </c>
    </row>
    <row r="16" customFormat="false" ht="15" hidden="false" customHeight="true" outlineLevel="0" collapsed="false">
      <c r="A16" s="4" t="s">
        <v>116</v>
      </c>
      <c r="L16" s="10" t="n">
        <f aca="false">L10*(1+Operations!$B$11)</f>
        <v>1579126.56909304</v>
      </c>
    </row>
    <row r="17" customFormat="false" ht="15" hidden="false" customHeight="true" outlineLevel="0" collapsed="false">
      <c r="A17" s="4" t="s">
        <v>117</v>
      </c>
      <c r="L17" s="10" t="n">
        <f aca="false">L16/$B$4</f>
        <v>23394467.6902673</v>
      </c>
    </row>
    <row r="18" customFormat="false" ht="15" hidden="false" customHeight="true" outlineLevel="0" collapsed="false">
      <c r="A18" s="4" t="s">
        <v>118</v>
      </c>
      <c r="L18" s="10" t="n">
        <f aca="false">L17*$B$5</f>
        <v>467889.353805346</v>
      </c>
    </row>
    <row r="19" customFormat="false" ht="15" hidden="false" customHeight="true" outlineLevel="0" collapsed="false">
      <c r="A19" s="4" t="s">
        <v>119</v>
      </c>
      <c r="L19" s="10" t="n">
        <f aca="false">L17-L18</f>
        <v>22926578.336462</v>
      </c>
    </row>
    <row r="20" customFormat="false" ht="15" hidden="false" customHeight="true" outlineLevel="0" collapsed="false">
      <c r="A20" s="4" t="s">
        <v>120</v>
      </c>
      <c r="L20" s="14" t="n">
        <f aca="false">Debt!L21</f>
        <v>11569779.6693017</v>
      </c>
    </row>
    <row r="21" customFormat="false" ht="15" hidden="false" customHeight="true" outlineLevel="0" collapsed="false">
      <c r="A21" s="4" t="s">
        <v>121</v>
      </c>
      <c r="L21" s="41" t="n">
        <f aca="false">L19-L20</f>
        <v>11356798.6671602</v>
      </c>
    </row>
    <row r="23" customFormat="false" ht="15" hidden="false" customHeight="true" outlineLevel="0" collapsed="false">
      <c r="A23" s="8" t="s">
        <v>122</v>
      </c>
      <c r="B23" s="42" t="n">
        <f aca="false">-(Summary!$C$9+Summary!$C$12)</f>
        <v>-20046250</v>
      </c>
      <c r="C23" s="12" t="n">
        <f aca="false">C12</f>
        <v>1129496</v>
      </c>
      <c r="D23" s="12" t="n">
        <f aca="false">D12</f>
        <v>1165750.88</v>
      </c>
      <c r="E23" s="12" t="n">
        <f aca="false">E12</f>
        <v>1203140.8064</v>
      </c>
      <c r="F23" s="12" t="n">
        <f aca="false">F12</f>
        <v>1241700.778592</v>
      </c>
      <c r="G23" s="12" t="n">
        <f aca="false">G12</f>
        <v>1281466.86490976</v>
      </c>
      <c r="H23" s="12" t="n">
        <f aca="false">H12</f>
        <v>1322476.23507625</v>
      </c>
      <c r="I23" s="12" t="n">
        <f aca="false">I12</f>
        <v>1364767.19363212</v>
      </c>
      <c r="J23" s="12" t="n">
        <f aca="false">J12</f>
        <v>1408379.21437474</v>
      </c>
      <c r="K23" s="12" t="n">
        <f aca="false">K12</f>
        <v>1453352.97583832</v>
      </c>
      <c r="L23" s="12" t="n">
        <f aca="false">L12+L19</f>
        <v>24426308.7343084</v>
      </c>
    </row>
    <row r="24" customFormat="false" ht="15" hidden="false" customHeight="true" outlineLevel="0" collapsed="false">
      <c r="A24" s="8" t="s">
        <v>123</v>
      </c>
      <c r="B24" s="42" t="n">
        <f aca="false">-Summary!$C$19</f>
        <v>-6879250</v>
      </c>
      <c r="C24" s="12" t="n">
        <f aca="false">C14</f>
        <v>387356</v>
      </c>
      <c r="D24" s="12" t="n">
        <f aca="false">D14</f>
        <v>423610.88</v>
      </c>
      <c r="E24" s="12" t="n">
        <f aca="false">E14</f>
        <v>288922.547951598</v>
      </c>
      <c r="F24" s="12" t="n">
        <f aca="false">F14</f>
        <v>327482.520143598</v>
      </c>
      <c r="G24" s="12" t="n">
        <f aca="false">G14</f>
        <v>367248.606461358</v>
      </c>
      <c r="H24" s="12" t="n">
        <f aca="false">H14</f>
        <v>408257.976627851</v>
      </c>
      <c r="I24" s="12" t="n">
        <f aca="false">I14</f>
        <v>450548.935183723</v>
      </c>
      <c r="J24" s="12" t="n">
        <f aca="false">J14</f>
        <v>494160.955926342</v>
      </c>
      <c r="K24" s="12" t="n">
        <f aca="false">K14</f>
        <v>539134.717389914</v>
      </c>
      <c r="L24" s="12" t="n">
        <f aca="false">L14+L21</f>
        <v>11942310.8065583</v>
      </c>
    </row>
    <row r="26" customFormat="false" ht="18" hidden="false" customHeight="true" outlineLevel="0" collapsed="false">
      <c r="A26" s="3" t="s">
        <v>124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customFormat="false" ht="15" hidden="false" customHeight="true" outlineLevel="0" collapsed="false">
      <c r="A27" s="8" t="s">
        <v>24</v>
      </c>
      <c r="B27" s="13" t="n">
        <f aca="false">IRR(B23:L23)</f>
        <v>0.0741993622268743</v>
      </c>
    </row>
    <row r="28" customFormat="false" ht="15" hidden="false" customHeight="true" outlineLevel="0" collapsed="false">
      <c r="A28" s="8" t="s">
        <v>25</v>
      </c>
      <c r="B28" s="13" t="n">
        <f aca="false">IRR(B24:L24)</f>
        <v>0.100327872417679</v>
      </c>
    </row>
    <row r="29" customFormat="false" ht="15" hidden="false" customHeight="true" outlineLevel="0" collapsed="false">
      <c r="A29" s="8" t="s">
        <v>26</v>
      </c>
      <c r="B29" s="43" t="n">
        <f aca="false">SUM(C24:L24)/-B24</f>
        <v>2.27190957535235</v>
      </c>
    </row>
    <row r="30" customFormat="false" ht="15" hidden="false" customHeight="true" outlineLevel="0" collapsed="false">
      <c r="A30" s="4" t="s">
        <v>125</v>
      </c>
      <c r="B30" s="15" t="n">
        <f aca="false">AVERAGE(C35:L35)</f>
        <v>0.0621032129822644</v>
      </c>
    </row>
    <row r="31" customFormat="false" ht="15" hidden="false" customHeight="true" outlineLevel="0" collapsed="false">
      <c r="A31" s="4" t="s">
        <v>126</v>
      </c>
      <c r="B31" s="15" t="n">
        <f aca="false">C35</f>
        <v>0.0563078823999709</v>
      </c>
    </row>
    <row r="32" customFormat="false" ht="15" hidden="false" customHeight="true" outlineLevel="0" collapsed="false">
      <c r="A32" s="4" t="s">
        <v>28</v>
      </c>
      <c r="B32" s="20" t="n">
        <f aca="false">Debt!C22</f>
        <v>1.5564394858113</v>
      </c>
    </row>
    <row r="33" customFormat="false" ht="15" hidden="false" customHeight="true" outlineLevel="0" collapsed="false">
      <c r="A33" s="4" t="s">
        <v>29</v>
      </c>
      <c r="B33" s="16" t="n">
        <f aca="false">Debt!C23</f>
        <v>0.0868493233082707</v>
      </c>
    </row>
    <row r="34" customFormat="false" ht="18" hidden="false" customHeight="true" outlineLevel="0" collapsed="false">
      <c r="A34" s="3" t="s">
        <v>127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customFormat="false" ht="15" hidden="false" customHeight="true" outlineLevel="0" collapsed="false">
      <c r="C35" s="44" t="n">
        <f aca="false">C14/Summary!$C$19</f>
        <v>0.0563078823999709</v>
      </c>
      <c r="D35" s="44" t="n">
        <f aca="false">D14/Summary!$C$19</f>
        <v>0.0615780615619435</v>
      </c>
      <c r="E35" s="44" t="n">
        <f aca="false">E14/Summary!$C$19</f>
        <v>0.041999134782367</v>
      </c>
      <c r="F35" s="44" t="n">
        <f aca="false">F14/Summary!$C$19</f>
        <v>0.047604392941614</v>
      </c>
      <c r="G35" s="44" t="n">
        <f aca="false">G14/Summary!$C$19</f>
        <v>0.0533849774991981</v>
      </c>
      <c r="H35" s="44" t="n">
        <f aca="false">H14/Summary!$C$19</f>
        <v>0.0593462916201404</v>
      </c>
      <c r="I35" s="44" t="n">
        <f aca="false">I14/Summary!$C$19</f>
        <v>0.0654939034318745</v>
      </c>
      <c r="J35" s="44" t="n">
        <f aca="false">J14/Summary!$C$19</f>
        <v>0.0718335510304673</v>
      </c>
      <c r="K35" s="44" t="n">
        <f aca="false">K14/Summary!$C$19</f>
        <v>0.0783711476381748</v>
      </c>
      <c r="L35" s="44" t="n">
        <f aca="false">L14/Summary!$C$19</f>
        <v>0.0851127869168933</v>
      </c>
    </row>
  </sheetData>
  <mergeCells count="5">
    <mergeCell ref="A1:L1"/>
    <mergeCell ref="A3:L3"/>
    <mergeCell ref="A8:L8"/>
    <mergeCell ref="A26:L26"/>
    <mergeCell ref="A34:L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Q1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36"/>
    <col collapsed="false" customWidth="true" hidden="false" outlineLevel="0" max="13" min="2" style="1" width="13"/>
    <col collapsed="false" customWidth="true" hidden="false" outlineLevel="0" max="14" min="14" style="1" width="4"/>
    <col collapsed="false" customWidth="true" hidden="false" outlineLevel="0" max="18" min="15" style="1" width="15"/>
  </cols>
  <sheetData>
    <row r="1" customFormat="false" ht="25.5" hidden="false" customHeight="true" outlineLevel="0" collapsed="false">
      <c r="A1" s="2" t="s">
        <v>128</v>
      </c>
      <c r="B1" s="2"/>
      <c r="C1" s="2"/>
      <c r="D1" s="2"/>
      <c r="E1" s="2"/>
      <c r="F1" s="2"/>
      <c r="G1" s="2"/>
      <c r="H1" s="2"/>
    </row>
    <row r="3" customFormat="false" ht="18" hidden="false" customHeight="true" outlineLevel="0" collapsed="false">
      <c r="A3" s="3" t="s">
        <v>129</v>
      </c>
      <c r="B3" s="3"/>
      <c r="C3" s="3"/>
      <c r="D3" s="3"/>
      <c r="E3" s="3"/>
      <c r="F3" s="3"/>
      <c r="G3" s="3"/>
      <c r="H3" s="3"/>
    </row>
    <row r="4" customFormat="false" ht="15" hidden="false" customHeight="true" outlineLevel="0" collapsed="false">
      <c r="A4" s="33" t="s">
        <v>130</v>
      </c>
      <c r="C4" s="45" t="n">
        <v>0.0625</v>
      </c>
      <c r="D4" s="45" t="n">
        <v>0.065</v>
      </c>
      <c r="E4" s="45" t="n">
        <v>0.0675</v>
      </c>
      <c r="F4" s="45" t="n">
        <v>0.07</v>
      </c>
      <c r="G4" s="45" t="n">
        <v>0.0725</v>
      </c>
    </row>
    <row r="5" customFormat="false" ht="15" hidden="false" customHeight="true" outlineLevel="0" collapsed="false">
      <c r="A5" s="46" t="n">
        <v>0.02</v>
      </c>
      <c r="C5" s="47" t="n">
        <f aca="false">P26</f>
        <v>0.0791642440495758</v>
      </c>
      <c r="D5" s="47" t="n">
        <f aca="false">P27</f>
        <v>0.0716516114408261</v>
      </c>
      <c r="E5" s="47" t="n">
        <f aca="false">P28</f>
        <v>0.0642104530694863</v>
      </c>
      <c r="F5" s="47" t="n">
        <f aca="false">P29</f>
        <v>0.0568183021498897</v>
      </c>
      <c r="G5" s="47" t="n">
        <f aca="false">P30</f>
        <v>0.0494530931733997</v>
      </c>
    </row>
    <row r="6" customFormat="false" ht="15" hidden="false" customHeight="true" outlineLevel="0" collapsed="false">
      <c r="A6" s="46" t="n">
        <v>0.025</v>
      </c>
      <c r="C6" s="47" t="n">
        <f aca="false">P36</f>
        <v>0.0969561373962837</v>
      </c>
      <c r="D6" s="47" t="n">
        <f aca="false">P37</f>
        <v>0.0899895939463935</v>
      </c>
      <c r="E6" s="47" t="n">
        <f aca="false">P38</f>
        <v>0.0831307797300809</v>
      </c>
      <c r="F6" s="47" t="n">
        <f aca="false">P39</f>
        <v>0.0763610577415677</v>
      </c>
      <c r="G6" s="47" t="n">
        <f aca="false">P40</f>
        <v>0.069662800975112</v>
      </c>
    </row>
    <row r="7" customFormat="false" ht="15" hidden="false" customHeight="true" outlineLevel="0" collapsed="false">
      <c r="A7" s="46" t="n">
        <v>0.03</v>
      </c>
      <c r="C7" s="47" t="n">
        <f aca="false">P46</f>
        <v>0.113285501354518</v>
      </c>
      <c r="D7" s="47" t="n">
        <f aca="false">P47</f>
        <v>0.106741208433971</v>
      </c>
      <c r="E7" s="47" t="n">
        <f aca="false">P48</f>
        <v>0.100327872417679</v>
      </c>
      <c r="F7" s="47" t="n">
        <f aca="false">P49</f>
        <v>0.0940288269360375</v>
      </c>
      <c r="G7" s="47" t="n">
        <f aca="false">P50</f>
        <v>0.0878286779853256</v>
      </c>
    </row>
    <row r="8" customFormat="false" ht="15" hidden="false" customHeight="true" outlineLevel="0" collapsed="false">
      <c r="A8" s="46" t="n">
        <v>0.035</v>
      </c>
      <c r="C8" s="47" t="n">
        <f aca="false">P56</f>
        <v>0.128446264165529</v>
      </c>
      <c r="D8" s="47" t="n">
        <f aca="false">P57</f>
        <v>0.122237156108256</v>
      </c>
      <c r="E8" s="47" t="n">
        <f aca="false">P58</f>
        <v>0.116174552990307</v>
      </c>
      <c r="F8" s="47" t="n">
        <f aca="false">P59</f>
        <v>0.110242851880686</v>
      </c>
      <c r="G8" s="47" t="n">
        <f aca="false">P60</f>
        <v>0.104427845968918</v>
      </c>
    </row>
    <row r="9" customFormat="false" ht="15" hidden="false" customHeight="true" outlineLevel="0" collapsed="false">
      <c r="A9" s="46" t="n">
        <v>0.04</v>
      </c>
      <c r="C9" s="47" t="n">
        <f aca="false">P66</f>
        <v>0.142651472925496</v>
      </c>
      <c r="D9" s="47" t="n">
        <f aca="false">P67</f>
        <v>0.136713977580578</v>
      </c>
      <c r="E9" s="47" t="n">
        <f aca="false">P68</f>
        <v>0.130933767987344</v>
      </c>
      <c r="F9" s="47" t="n">
        <f aca="false">P69</f>
        <v>0.125295831214282</v>
      </c>
      <c r="G9" s="47" t="n">
        <f aca="false">P70</f>
        <v>0.119786613844424</v>
      </c>
    </row>
    <row r="11" customFormat="false" ht="18" hidden="false" customHeight="true" outlineLevel="0" collapsed="false">
      <c r="A11" s="3" t="s">
        <v>131</v>
      </c>
      <c r="B11" s="3"/>
      <c r="C11" s="3"/>
      <c r="D11" s="3"/>
      <c r="E11" s="3"/>
      <c r="F11" s="3"/>
      <c r="G11" s="3"/>
      <c r="H11" s="3"/>
    </row>
    <row r="12" customFormat="false" ht="15" hidden="false" customHeight="true" outlineLevel="0" collapsed="false">
      <c r="A12" s="33" t="s">
        <v>132</v>
      </c>
      <c r="C12" s="48" t="n">
        <v>18750000</v>
      </c>
      <c r="D12" s="48" t="n">
        <v>19250000</v>
      </c>
      <c r="E12" s="48" t="n">
        <v>19750000</v>
      </c>
      <c r="F12" s="48" t="n">
        <v>20250000</v>
      </c>
      <c r="G12" s="48" t="n">
        <v>20750000</v>
      </c>
    </row>
    <row r="13" customFormat="false" ht="15" hidden="false" customHeight="true" outlineLevel="0" collapsed="false">
      <c r="A13" s="46" t="n">
        <v>0.0625</v>
      </c>
      <c r="C13" s="47" t="n">
        <f aca="false">P81</f>
        <v>0.129239489958782</v>
      </c>
      <c r="D13" s="47" t="n">
        <f aca="false">P94</f>
        <v>0.121191345936334</v>
      </c>
      <c r="E13" s="47" t="n">
        <f aca="false">P107</f>
        <v>0.113285501354518</v>
      </c>
      <c r="F13" s="47" t="n">
        <f aca="false">P120</f>
        <v>0.105506096181094</v>
      </c>
      <c r="G13" s="47" t="n">
        <f aca="false">P133</f>
        <v>0.0978382784737241</v>
      </c>
    </row>
    <row r="14" customFormat="false" ht="15" hidden="false" customHeight="true" outlineLevel="0" collapsed="false">
      <c r="A14" s="46" t="n">
        <v>0.065</v>
      </c>
      <c r="C14" s="47" t="n">
        <f aca="false">P82</f>
        <v>0.123032227185297</v>
      </c>
      <c r="D14" s="47" t="n">
        <f aca="false">P95</f>
        <v>0.114819013251582</v>
      </c>
      <c r="E14" s="47" t="n">
        <f aca="false">P108</f>
        <v>0.106741208433971</v>
      </c>
      <c r="F14" s="47" t="n">
        <f aca="false">P121</f>
        <v>0.0987823198386671</v>
      </c>
      <c r="G14" s="47" t="n">
        <f aca="false">P134</f>
        <v>0.0909268086754108</v>
      </c>
    </row>
    <row r="15" customFormat="false" ht="15" hidden="false" customHeight="true" outlineLevel="0" collapsed="false">
      <c r="A15" s="46" t="n">
        <v>0.0675</v>
      </c>
      <c r="C15" s="47" t="n">
        <f aca="false">P83</f>
        <v>0.116969326387185</v>
      </c>
      <c r="D15" s="47" t="n">
        <f aca="false">P96</f>
        <v>0.108584780194954</v>
      </c>
      <c r="E15" s="47" t="n">
        <f aca="false">P109</f>
        <v>0.100327872417679</v>
      </c>
      <c r="F15" s="47" t="n">
        <f aca="false">P122</f>
        <v>0.0921813679930659</v>
      </c>
      <c r="G15" s="47" t="n">
        <f aca="false">P135</f>
        <v>0.0841289149360697</v>
      </c>
    </row>
    <row r="16" customFormat="false" ht="15" hidden="false" customHeight="true" outlineLevel="0" collapsed="false">
      <c r="A16" s="46" t="n">
        <v>0.07</v>
      </c>
      <c r="C16" s="47" t="n">
        <f aca="false">P84</f>
        <v>0.111035142168203</v>
      </c>
      <c r="D16" s="47" t="n">
        <f aca="false">P97</f>
        <v>0.102472541510463</v>
      </c>
      <c r="E16" s="47" t="n">
        <f aca="false">P110</f>
        <v>0.0940288269360375</v>
      </c>
      <c r="F16" s="47" t="n">
        <f aca="false">P123</f>
        <v>0.0856858904751825</v>
      </c>
      <c r="G16" s="47" t="n">
        <f aca="false">P136</f>
        <v>0.0774264145048009</v>
      </c>
    </row>
    <row r="17" customFormat="false" ht="15" hidden="false" customHeight="true" outlineLevel="0" collapsed="false">
      <c r="A17" s="46" t="n">
        <v>0.0725</v>
      </c>
      <c r="C17" s="47" t="n">
        <f aca="false">P85</f>
        <v>0.10521540882438</v>
      </c>
      <c r="D17" s="47" t="n">
        <f aca="false">P98</f>
        <v>0.0964675253473755</v>
      </c>
      <c r="E17" s="47" t="n">
        <f aca="false">P111</f>
        <v>0.0878286779853256</v>
      </c>
      <c r="F17" s="47" t="n">
        <f aca="false">P124</f>
        <v>0.0792797292494003</v>
      </c>
      <c r="G17" s="47" t="n">
        <f aca="false">P137</f>
        <v>0.0708022115443728</v>
      </c>
    </row>
    <row r="20" customFormat="false" ht="18" hidden="true" customHeight="true" outlineLevel="1" collapsed="false">
      <c r="A20" s="3" t="s">
        <v>133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customFormat="false" ht="15" hidden="true" customHeight="true" outlineLevel="1" collapsed="false"/>
    <row r="22" customFormat="false" ht="15" hidden="true" customHeight="true" outlineLevel="1" collapsed="false">
      <c r="A22" s="49" t="s">
        <v>134</v>
      </c>
      <c r="B22" s="50" t="n">
        <v>0.02</v>
      </c>
    </row>
    <row r="23" customFormat="false" ht="15" hidden="true" customHeight="true" outlineLevel="1" collapsed="false">
      <c r="A23" s="51" t="s">
        <v>135</v>
      </c>
      <c r="C23" s="10" t="n">
        <f aca="false">Operations!$G$7*(1+$B$22)^(1-1)*(1-Operations!$B$12)+Operations!$C$31*(1+$B$22)^(1-1)</f>
        <v>1820100</v>
      </c>
      <c r="D23" s="10" t="n">
        <f aca="false">Operations!$G$7*(1+$B$22)^(2-1)*(1-Operations!$B$12)+Operations!$C$31*(1+$B$22)^(2-1)</f>
        <v>1856502</v>
      </c>
      <c r="E23" s="10" t="n">
        <f aca="false">Operations!$G$7*(1+$B$22)^(3-1)*(1-Operations!$B$12)+Operations!$C$31*(1+$B$22)^(3-1)</f>
        <v>1893632.04</v>
      </c>
      <c r="F23" s="10" t="n">
        <f aca="false">Operations!$G$7*(1+$B$22)^(4-1)*(1-Operations!$B$12)+Operations!$C$31*(1+$B$22)^(4-1)</f>
        <v>1931504.6808</v>
      </c>
      <c r="G23" s="10" t="n">
        <f aca="false">Operations!$G$7*(1+$B$22)^(5-1)*(1-Operations!$B$12)+Operations!$C$31*(1+$B$22)^(5-1)</f>
        <v>1970134.774416</v>
      </c>
      <c r="H23" s="10" t="n">
        <f aca="false">Operations!$G$7*(1+$B$22)^(6-1)*(1-Operations!$B$12)+Operations!$C$31*(1+$B$22)^(6-1)</f>
        <v>2009537.46990432</v>
      </c>
      <c r="I23" s="10" t="n">
        <f aca="false">Operations!$G$7*(1+$B$22)^(7-1)*(1-Operations!$B$12)+Operations!$C$31*(1+$B$22)^(7-1)</f>
        <v>2049728.21930241</v>
      </c>
      <c r="J23" s="10" t="n">
        <f aca="false">Operations!$G$7*(1+$B$22)^(8-1)*(1-Operations!$B$12)+Operations!$C$31*(1+$B$22)^(8-1)</f>
        <v>2090722.78368845</v>
      </c>
      <c r="K23" s="10" t="n">
        <f aca="false">Operations!$G$7*(1+$B$22)^(9-1)*(1-Operations!$B$12)+Operations!$C$31*(1+$B$22)^(9-1)</f>
        <v>2132537.23936222</v>
      </c>
      <c r="L23" s="10" t="n">
        <f aca="false">Operations!$G$7*(1+$B$22)^(10-1)*(1-Operations!$B$12)+Operations!$C$31*(1+$B$22)^(10-1)</f>
        <v>2175187.98414947</v>
      </c>
    </row>
    <row r="24" customFormat="false" ht="15" hidden="true" customHeight="true" outlineLevel="1" collapsed="false">
      <c r="A24" s="51" t="s">
        <v>136</v>
      </c>
      <c r="C24" s="10" t="n">
        <f aca="false">C23-SUM(Operations!C34:C39)-Operations!$B$16*C23</f>
        <v>1155096</v>
      </c>
      <c r="D24" s="10" t="n">
        <f aca="false">D23-SUM(Operations!D34:D39)-Operations!$B$16*D23</f>
        <v>1174645.92</v>
      </c>
      <c r="E24" s="10" t="n">
        <f aca="false">E23-SUM(Operations!E34:E39)-Operations!$B$16*E23</f>
        <v>1194480.2784</v>
      </c>
      <c r="F24" s="10" t="n">
        <f aca="false">F23-SUM(Operations!F34:F39)-Operations!$B$16*F23</f>
        <v>1214601.567168</v>
      </c>
      <c r="G24" s="10" t="n">
        <f aca="false">G23-SUM(Operations!G34:G39)-Operations!$B$16*G23</f>
        <v>1235012.23220736</v>
      </c>
      <c r="H24" s="10" t="n">
        <f aca="false">H23-SUM(Operations!H34:H39)-Operations!$B$16*H23</f>
        <v>1255714.66955839</v>
      </c>
      <c r="I24" s="10" t="n">
        <f aca="false">I23-SUM(Operations!I34:I39)-Operations!$B$16*I23</f>
        <v>1276711.22143764</v>
      </c>
      <c r="J24" s="10" t="n">
        <f aca="false">J23-SUM(Operations!J34:J39)-Operations!$B$16*J23</f>
        <v>1298004.17210912</v>
      </c>
      <c r="K24" s="10" t="n">
        <f aca="false">K23-SUM(Operations!K34:K39)-Operations!$B$16*K23</f>
        <v>1319595.74358132</v>
      </c>
      <c r="L24" s="10" t="n">
        <f aca="false">L23-SUM(Operations!L34:L39)-Operations!$B$16*L23</f>
        <v>1341488.09112385</v>
      </c>
    </row>
    <row r="25" customFormat="false" ht="15" hidden="true" customHeight="true" outlineLevel="1" collapsed="false">
      <c r="A25" s="51" t="s">
        <v>137</v>
      </c>
      <c r="C25" s="10" t="n">
        <f aca="false">C24-Operations!C43-Debt!C20</f>
        <v>387356</v>
      </c>
      <c r="D25" s="10" t="n">
        <f aca="false">D24-Operations!D43-Debt!D20</f>
        <v>406137.92</v>
      </c>
      <c r="E25" s="10" t="n">
        <f aca="false">E24-Operations!E43-Debt!E20</f>
        <v>253102.979951598</v>
      </c>
      <c r="F25" s="10" t="n">
        <f aca="false">F24-Operations!F43-Debt!F20</f>
        <v>272409.497519598</v>
      </c>
      <c r="G25" s="10" t="n">
        <f aca="false">G24-Operations!G43-Debt!G20</f>
        <v>291980.948222958</v>
      </c>
      <c r="H25" s="10" t="n">
        <f aca="false">H24-Operations!H43-Debt!H20</f>
        <v>311818.994807905</v>
      </c>
      <c r="I25" s="10" t="n">
        <f aca="false">I24-Operations!I43-Debt!I20</f>
        <v>331925.224198097</v>
      </c>
      <c r="J25" s="10" t="n">
        <f aca="false">J24-Operations!J43-Debt!J20</f>
        <v>352301.142705844</v>
      </c>
      <c r="K25" s="10" t="n">
        <f aca="false">K24-Operations!K43-Debt!K20</f>
        <v>372948.171049392</v>
      </c>
      <c r="L25" s="10" t="n">
        <f aca="false">L24-Operations!L43-Debt!L20</f>
        <v>393867.639169423</v>
      </c>
    </row>
    <row r="26" customFormat="false" ht="15" hidden="true" customHeight="true" outlineLevel="1" collapsed="false">
      <c r="A26" s="52" t="s">
        <v>138</v>
      </c>
      <c r="B26" s="10" t="n">
        <f aca="false">-Summary!$C$19</f>
        <v>-6879250</v>
      </c>
      <c r="C26" s="10" t="n">
        <f aca="false">C25</f>
        <v>387356</v>
      </c>
      <c r="D26" s="10" t="n">
        <f aca="false">D25</f>
        <v>406137.92</v>
      </c>
      <c r="E26" s="10" t="n">
        <f aca="false">E25</f>
        <v>253102.979951598</v>
      </c>
      <c r="F26" s="10" t="n">
        <f aca="false">F25</f>
        <v>272409.497519598</v>
      </c>
      <c r="G26" s="10" t="n">
        <f aca="false">G25</f>
        <v>291980.948222958</v>
      </c>
      <c r="H26" s="10" t="n">
        <f aca="false">H25</f>
        <v>311818.994807905</v>
      </c>
      <c r="I26" s="10" t="n">
        <f aca="false">I25</f>
        <v>331925.224198097</v>
      </c>
      <c r="J26" s="10" t="n">
        <f aca="false">J25</f>
        <v>352301.142705844</v>
      </c>
      <c r="K26" s="10" t="n">
        <f aca="false">K25</f>
        <v>372948.171049392</v>
      </c>
      <c r="L26" s="10" t="n">
        <f aca="false">L25+((L24*(1+$B$22)/$Q$26)*(1-CashFlow!$B$5)-Debt!L21)</f>
        <v>10279311.9040662</v>
      </c>
      <c r="P26" s="53" t="n">
        <f aca="false">IRR(B26:L26)</f>
        <v>0.0791642440495758</v>
      </c>
      <c r="Q26" s="50" t="n">
        <v>0.0625</v>
      </c>
    </row>
    <row r="27" customFormat="false" ht="15" hidden="true" customHeight="true" outlineLevel="1" collapsed="false">
      <c r="A27" s="52" t="s">
        <v>139</v>
      </c>
      <c r="B27" s="10" t="n">
        <f aca="false">-Summary!$C$19</f>
        <v>-6879250</v>
      </c>
      <c r="C27" s="10" t="n">
        <f aca="false">C25</f>
        <v>387356</v>
      </c>
      <c r="D27" s="10" t="n">
        <f aca="false">D25</f>
        <v>406137.92</v>
      </c>
      <c r="E27" s="10" t="n">
        <f aca="false">E25</f>
        <v>253102.979951598</v>
      </c>
      <c r="F27" s="10" t="n">
        <f aca="false">F25</f>
        <v>272409.497519598</v>
      </c>
      <c r="G27" s="10" t="n">
        <f aca="false">G25</f>
        <v>291980.948222958</v>
      </c>
      <c r="H27" s="10" t="n">
        <f aca="false">H25</f>
        <v>311818.994807905</v>
      </c>
      <c r="I27" s="10" t="n">
        <f aca="false">I25</f>
        <v>331925.224198097</v>
      </c>
      <c r="J27" s="10" t="n">
        <f aca="false">J25</f>
        <v>352301.142705844</v>
      </c>
      <c r="K27" s="10" t="n">
        <f aca="false">K25</f>
        <v>372948.171049392</v>
      </c>
      <c r="L27" s="10" t="n">
        <f aca="false">L25+((L24*(1+$B$22)/$Q$27)*(1-CashFlow!$B$5)-Debt!L21)</f>
        <v>9454110.98352007</v>
      </c>
      <c r="P27" s="53" t="n">
        <f aca="false">IRR(B27:L27)</f>
        <v>0.0716516114408261</v>
      </c>
      <c r="Q27" s="50" t="n">
        <v>0.065</v>
      </c>
    </row>
    <row r="28" customFormat="false" ht="15" hidden="true" customHeight="true" outlineLevel="1" collapsed="false">
      <c r="A28" s="52" t="s">
        <v>140</v>
      </c>
      <c r="B28" s="10" t="n">
        <f aca="false">-Summary!$C$19</f>
        <v>-6879250</v>
      </c>
      <c r="C28" s="10" t="n">
        <f aca="false">C25</f>
        <v>387356</v>
      </c>
      <c r="D28" s="10" t="n">
        <f aca="false">D25</f>
        <v>406137.92</v>
      </c>
      <c r="E28" s="10" t="n">
        <f aca="false">E25</f>
        <v>253102.979951598</v>
      </c>
      <c r="F28" s="10" t="n">
        <f aca="false">F25</f>
        <v>272409.497519598</v>
      </c>
      <c r="G28" s="10" t="n">
        <f aca="false">G25</f>
        <v>291980.948222958</v>
      </c>
      <c r="H28" s="10" t="n">
        <f aca="false">H25</f>
        <v>311818.994807905</v>
      </c>
      <c r="I28" s="10" t="n">
        <f aca="false">I25</f>
        <v>331925.224198097</v>
      </c>
      <c r="J28" s="10" t="n">
        <f aca="false">J25</f>
        <v>352301.142705844</v>
      </c>
      <c r="K28" s="10" t="n">
        <f aca="false">K25</f>
        <v>372948.171049392</v>
      </c>
      <c r="L28" s="10" t="n">
        <f aca="false">L25+((L24*(1+$B$22)/$Q$28)*(1-CashFlow!$B$5)-Debt!L21)</f>
        <v>8690036.0570885</v>
      </c>
      <c r="P28" s="53" t="n">
        <f aca="false">IRR(B28:L28)</f>
        <v>0.0642104530694863</v>
      </c>
      <c r="Q28" s="50" t="n">
        <v>0.0675</v>
      </c>
    </row>
    <row r="29" customFormat="false" ht="15" hidden="true" customHeight="true" outlineLevel="1" collapsed="false">
      <c r="A29" s="52" t="s">
        <v>141</v>
      </c>
      <c r="B29" s="10" t="n">
        <f aca="false">-Summary!$C$19</f>
        <v>-6879250</v>
      </c>
      <c r="C29" s="10" t="n">
        <f aca="false">C25</f>
        <v>387356</v>
      </c>
      <c r="D29" s="10" t="n">
        <f aca="false">D25</f>
        <v>406137.92</v>
      </c>
      <c r="E29" s="10" t="n">
        <f aca="false">E25</f>
        <v>253102.979951598</v>
      </c>
      <c r="F29" s="10" t="n">
        <f aca="false">F25</f>
        <v>272409.497519598</v>
      </c>
      <c r="G29" s="10" t="n">
        <f aca="false">G25</f>
        <v>291980.948222958</v>
      </c>
      <c r="H29" s="10" t="n">
        <f aca="false">H25</f>
        <v>311818.994807905</v>
      </c>
      <c r="I29" s="10" t="n">
        <f aca="false">I25</f>
        <v>331925.224198097</v>
      </c>
      <c r="J29" s="10" t="n">
        <f aca="false">J25</f>
        <v>352301.142705844</v>
      </c>
      <c r="K29" s="10" t="n">
        <f aca="false">K25</f>
        <v>372948.171049392</v>
      </c>
      <c r="L29" s="10" t="n">
        <f aca="false">L25+((L24*(1+$B$22)/$Q$29)*(1-CashFlow!$B$5)-Debt!L21)</f>
        <v>7980537.91111633</v>
      </c>
      <c r="P29" s="53" t="n">
        <f aca="false">IRR(B29:L29)</f>
        <v>0.0568183021498897</v>
      </c>
      <c r="Q29" s="50" t="n">
        <v>0.07</v>
      </c>
    </row>
    <row r="30" customFormat="false" ht="15" hidden="true" customHeight="true" outlineLevel="1" collapsed="false">
      <c r="A30" s="52" t="s">
        <v>142</v>
      </c>
      <c r="B30" s="10" t="n">
        <f aca="false">-Summary!$C$19</f>
        <v>-6879250</v>
      </c>
      <c r="C30" s="10" t="n">
        <f aca="false">C25</f>
        <v>387356</v>
      </c>
      <c r="D30" s="10" t="n">
        <f aca="false">D25</f>
        <v>406137.92</v>
      </c>
      <c r="E30" s="10" t="n">
        <f aca="false">E25</f>
        <v>253102.979951598</v>
      </c>
      <c r="F30" s="10" t="n">
        <f aca="false">F25</f>
        <v>272409.497519598</v>
      </c>
      <c r="G30" s="10" t="n">
        <f aca="false">G25</f>
        <v>291980.948222958</v>
      </c>
      <c r="H30" s="10" t="n">
        <f aca="false">H25</f>
        <v>311818.994807905</v>
      </c>
      <c r="I30" s="10" t="n">
        <f aca="false">I25</f>
        <v>331925.224198097</v>
      </c>
      <c r="J30" s="10" t="n">
        <f aca="false">J25</f>
        <v>352301.142705844</v>
      </c>
      <c r="K30" s="10" t="n">
        <f aca="false">K25</f>
        <v>372948.171049392</v>
      </c>
      <c r="L30" s="10" t="n">
        <f aca="false">L25+((L24*(1+$B$22)/$Q$30)*(1-CashFlow!$B$5)-Debt!L21)</f>
        <v>7319970.67176293</v>
      </c>
      <c r="P30" s="53" t="n">
        <f aca="false">IRR(B30:L30)</f>
        <v>0.0494530931733997</v>
      </c>
      <c r="Q30" s="50" t="n">
        <v>0.0725</v>
      </c>
    </row>
    <row r="31" customFormat="false" ht="15" hidden="true" customHeight="true" outlineLevel="1" collapsed="false"/>
    <row r="32" customFormat="false" ht="15" hidden="true" customHeight="true" outlineLevel="1" collapsed="false">
      <c r="A32" s="49" t="s">
        <v>143</v>
      </c>
      <c r="B32" s="50" t="n">
        <v>0.025</v>
      </c>
    </row>
    <row r="33" customFormat="false" ht="15" hidden="true" customHeight="true" outlineLevel="1" collapsed="false">
      <c r="A33" s="51" t="s">
        <v>135</v>
      </c>
      <c r="C33" s="10" t="n">
        <f aca="false">Operations!$G$7*(1+$B$32)^(1-1)*(1-Operations!$B$12)+Operations!$C$31*(1+$B$32)^(1-1)</f>
        <v>1820100</v>
      </c>
      <c r="D33" s="10" t="n">
        <f aca="false">Operations!$G$7*(1+$B$32)^(2-1)*(1-Operations!$B$12)+Operations!$C$31*(1+$B$32)^(2-1)</f>
        <v>1865602.5</v>
      </c>
      <c r="E33" s="10" t="n">
        <f aca="false">Operations!$G$7*(1+$B$32)^(3-1)*(1-Operations!$B$12)+Operations!$C$31*(1+$B$32)^(3-1)</f>
        <v>1912242.5625</v>
      </c>
      <c r="F33" s="10" t="n">
        <f aca="false">Operations!$G$7*(1+$B$32)^(4-1)*(1-Operations!$B$12)+Operations!$C$31*(1+$B$32)^(4-1)</f>
        <v>1960048.6265625</v>
      </c>
      <c r="G33" s="10" t="n">
        <f aca="false">Operations!$G$7*(1+$B$32)^(5-1)*(1-Operations!$B$12)+Operations!$C$31*(1+$B$32)^(5-1)</f>
        <v>2009049.84222656</v>
      </c>
      <c r="H33" s="10" t="n">
        <f aca="false">Operations!$G$7*(1+$B$32)^(6-1)*(1-Operations!$B$12)+Operations!$C$31*(1+$B$32)^(6-1)</f>
        <v>2059276.08828223</v>
      </c>
      <c r="I33" s="10" t="n">
        <f aca="false">Operations!$G$7*(1+$B$32)^(7-1)*(1-Operations!$B$12)+Operations!$C$31*(1+$B$32)^(7-1)</f>
        <v>2110757.99048928</v>
      </c>
      <c r="J33" s="10" t="n">
        <f aca="false">Operations!$G$7*(1+$B$32)^(8-1)*(1-Operations!$B$12)+Operations!$C$31*(1+$B$32)^(8-1)</f>
        <v>2163526.94025151</v>
      </c>
      <c r="K33" s="10" t="n">
        <f aca="false">Operations!$G$7*(1+$B$32)^(9-1)*(1-Operations!$B$12)+Operations!$C$31*(1+$B$32)^(9-1)</f>
        <v>2217615.1137578</v>
      </c>
      <c r="L33" s="10" t="n">
        <f aca="false">Operations!$G$7*(1+$B$32)^(10-1)*(1-Operations!$B$12)+Operations!$C$31*(1+$B$32)^(10-1)</f>
        <v>2273055.49160175</v>
      </c>
    </row>
    <row r="34" customFormat="false" ht="15" hidden="true" customHeight="true" outlineLevel="1" collapsed="false">
      <c r="A34" s="51" t="s">
        <v>136</v>
      </c>
      <c r="C34" s="10" t="n">
        <f aca="false">C33-SUM(Operations!C34:C39)-Operations!$B$16*C33</f>
        <v>1155096</v>
      </c>
      <c r="D34" s="10" t="n">
        <f aca="false">D33-SUM(Operations!D34:D39)-Operations!$B$16*D33</f>
        <v>1183382.4</v>
      </c>
      <c r="E34" s="10" t="n">
        <f aca="false">E33-SUM(Operations!E34:E39)-Operations!$B$16*E33</f>
        <v>1212346.38</v>
      </c>
      <c r="F34" s="10" t="n">
        <f aca="false">F33-SUM(Operations!F34:F39)-Operations!$B$16*F33</f>
        <v>1242003.7551</v>
      </c>
      <c r="G34" s="10" t="n">
        <f aca="false">G33-SUM(Operations!G34:G39)-Operations!$B$16*G33</f>
        <v>1272370.6973055</v>
      </c>
      <c r="H34" s="10" t="n">
        <f aca="false">H33-SUM(Operations!H34:H39)-Operations!$B$16*H33</f>
        <v>1303463.74320118</v>
      </c>
      <c r="I34" s="10" t="n">
        <f aca="false">I33-SUM(Operations!I34:I39)-Operations!$B$16*I33</f>
        <v>1335299.80177704</v>
      </c>
      <c r="J34" s="10" t="n">
        <f aca="false">J33-SUM(Operations!J34:J39)-Operations!$B$16*J33</f>
        <v>1367896.16240966</v>
      </c>
      <c r="K34" s="10" t="n">
        <f aca="false">K33-SUM(Operations!K34:K39)-Operations!$B$16*K33</f>
        <v>1401270.50300107</v>
      </c>
      <c r="L34" s="10" t="n">
        <f aca="false">L33-SUM(Operations!L34:L39)-Operations!$B$16*L33</f>
        <v>1435440.89827804</v>
      </c>
    </row>
    <row r="35" customFormat="false" ht="15" hidden="true" customHeight="true" outlineLevel="1" collapsed="false">
      <c r="A35" s="51" t="s">
        <v>137</v>
      </c>
      <c r="C35" s="10" t="n">
        <f aca="false">C34-Operations!C43-Debt!C20</f>
        <v>387356</v>
      </c>
      <c r="D35" s="10" t="n">
        <f aca="false">D34-Operations!D43-Debt!D20</f>
        <v>414874.4</v>
      </c>
      <c r="E35" s="10" t="n">
        <f aca="false">E34-Operations!E43-Debt!E20</f>
        <v>270969.081551598</v>
      </c>
      <c r="F35" s="10" t="n">
        <f aca="false">F34-Operations!F43-Debt!F20</f>
        <v>299811.685451597</v>
      </c>
      <c r="G35" s="10" t="n">
        <f aca="false">G34-Operations!G43-Debt!G20</f>
        <v>329339.413321097</v>
      </c>
      <c r="H35" s="10" t="n">
        <f aca="false">H34-Operations!H43-Debt!H20</f>
        <v>359568.068450694</v>
      </c>
      <c r="I35" s="10" t="n">
        <f aca="false">I34-Operations!I43-Debt!I20</f>
        <v>390513.804537496</v>
      </c>
      <c r="J35" s="10" t="n">
        <f aca="false">J34-Operations!J43-Debt!J20</f>
        <v>422193.133006381</v>
      </c>
      <c r="K35" s="10" t="n">
        <f aca="false">K34-Operations!K43-Debt!K20</f>
        <v>454622.930469145</v>
      </c>
      <c r="L35" s="10" t="n">
        <f aca="false">L34-Operations!L43-Debt!L20</f>
        <v>487820.446323609</v>
      </c>
    </row>
    <row r="36" customFormat="false" ht="15" hidden="true" customHeight="true" outlineLevel="1" collapsed="false">
      <c r="A36" s="52" t="s">
        <v>138</v>
      </c>
      <c r="B36" s="10" t="n">
        <f aca="false">-Summary!$C$19</f>
        <v>-6879250</v>
      </c>
      <c r="C36" s="10" t="n">
        <f aca="false">C35</f>
        <v>387356</v>
      </c>
      <c r="D36" s="10" t="n">
        <f aca="false">D35</f>
        <v>414874.4</v>
      </c>
      <c r="E36" s="10" t="n">
        <f aca="false">E35</f>
        <v>270969.081551598</v>
      </c>
      <c r="F36" s="10" t="n">
        <f aca="false">F35</f>
        <v>299811.685451597</v>
      </c>
      <c r="G36" s="10" t="n">
        <f aca="false">G35</f>
        <v>329339.413321097</v>
      </c>
      <c r="H36" s="10" t="n">
        <f aca="false">H35</f>
        <v>359568.068450694</v>
      </c>
      <c r="I36" s="10" t="n">
        <f aca="false">I35</f>
        <v>390513.804537496</v>
      </c>
      <c r="J36" s="10" t="n">
        <f aca="false">J35</f>
        <v>422193.133006381</v>
      </c>
      <c r="K36" s="10" t="n">
        <f aca="false">K35</f>
        <v>454622.930469145</v>
      </c>
      <c r="L36" s="10" t="n">
        <f aca="false">L35+((L34*(1+$B$32)/$Q$36)*(1-CashFlow!$B$5)-Debt!L21)</f>
        <v>11988446.8941465</v>
      </c>
      <c r="P36" s="53" t="n">
        <f aca="false">IRR(B36:L36)</f>
        <v>0.0969561373962837</v>
      </c>
      <c r="Q36" s="50" t="n">
        <v>0.0625</v>
      </c>
    </row>
    <row r="37" customFormat="false" ht="15" hidden="true" customHeight="true" outlineLevel="1" collapsed="false">
      <c r="A37" s="52" t="s">
        <v>139</v>
      </c>
      <c r="B37" s="10" t="n">
        <f aca="false">-Summary!$C$19</f>
        <v>-6879250</v>
      </c>
      <c r="C37" s="10" t="n">
        <f aca="false">C35</f>
        <v>387356</v>
      </c>
      <c r="D37" s="10" t="n">
        <f aca="false">D35</f>
        <v>414874.4</v>
      </c>
      <c r="E37" s="10" t="n">
        <f aca="false">E35</f>
        <v>270969.081551598</v>
      </c>
      <c r="F37" s="10" t="n">
        <f aca="false">F35</f>
        <v>299811.685451597</v>
      </c>
      <c r="G37" s="10" t="n">
        <f aca="false">G35</f>
        <v>329339.413321097</v>
      </c>
      <c r="H37" s="10" t="n">
        <f aca="false">H35</f>
        <v>359568.068450694</v>
      </c>
      <c r="I37" s="10" t="n">
        <f aca="false">I35</f>
        <v>390513.804537496</v>
      </c>
      <c r="J37" s="10" t="n">
        <f aca="false">J35</f>
        <v>422193.133006381</v>
      </c>
      <c r="K37" s="10" t="n">
        <f aca="false">K35</f>
        <v>454622.930469145</v>
      </c>
      <c r="L37" s="10" t="n">
        <f aca="false">L35+((L34*(1+$B$32)/$Q$37)*(1-CashFlow!$B$5)-Debt!L21)</f>
        <v>11101123.5819494</v>
      </c>
      <c r="P37" s="53" t="n">
        <f aca="false">IRR(B37:L37)</f>
        <v>0.0899895939463935</v>
      </c>
      <c r="Q37" s="50" t="n">
        <v>0.065</v>
      </c>
    </row>
    <row r="38" customFormat="false" ht="15" hidden="true" customHeight="true" outlineLevel="1" collapsed="false">
      <c r="A38" s="52" t="s">
        <v>140</v>
      </c>
      <c r="B38" s="10" t="n">
        <f aca="false">-Summary!$C$19</f>
        <v>-6879250</v>
      </c>
      <c r="C38" s="10" t="n">
        <f aca="false">C35</f>
        <v>387356</v>
      </c>
      <c r="D38" s="10" t="n">
        <f aca="false">D35</f>
        <v>414874.4</v>
      </c>
      <c r="E38" s="10" t="n">
        <f aca="false">E35</f>
        <v>270969.081551598</v>
      </c>
      <c r="F38" s="10" t="n">
        <f aca="false">F35</f>
        <v>299811.685451597</v>
      </c>
      <c r="G38" s="10" t="n">
        <f aca="false">G35</f>
        <v>329339.413321097</v>
      </c>
      <c r="H38" s="10" t="n">
        <f aca="false">H35</f>
        <v>359568.068450694</v>
      </c>
      <c r="I38" s="10" t="n">
        <f aca="false">I35</f>
        <v>390513.804537496</v>
      </c>
      <c r="J38" s="10" t="n">
        <f aca="false">J35</f>
        <v>422193.133006381</v>
      </c>
      <c r="K38" s="10" t="n">
        <f aca="false">K35</f>
        <v>454622.930469145</v>
      </c>
      <c r="L38" s="10" t="n">
        <f aca="false">L35+((L34*(1+$B$32)/$Q$38)*(1-CashFlow!$B$5)-Debt!L21)</f>
        <v>10279527.9225077</v>
      </c>
      <c r="P38" s="53" t="n">
        <f aca="false">IRR(B38:L38)</f>
        <v>0.0831307797300809</v>
      </c>
      <c r="Q38" s="50" t="n">
        <v>0.0675</v>
      </c>
    </row>
    <row r="39" customFormat="false" ht="15" hidden="true" customHeight="true" outlineLevel="1" collapsed="false">
      <c r="A39" s="52" t="s">
        <v>141</v>
      </c>
      <c r="B39" s="10" t="n">
        <f aca="false">-Summary!$C$19</f>
        <v>-6879250</v>
      </c>
      <c r="C39" s="10" t="n">
        <f aca="false">C35</f>
        <v>387356</v>
      </c>
      <c r="D39" s="10" t="n">
        <f aca="false">D35</f>
        <v>414874.4</v>
      </c>
      <c r="E39" s="10" t="n">
        <f aca="false">E35</f>
        <v>270969.081551598</v>
      </c>
      <c r="F39" s="10" t="n">
        <f aca="false">F35</f>
        <v>299811.685451597</v>
      </c>
      <c r="G39" s="10" t="n">
        <f aca="false">G35</f>
        <v>329339.413321097</v>
      </c>
      <c r="H39" s="10" t="n">
        <f aca="false">H35</f>
        <v>359568.068450694</v>
      </c>
      <c r="I39" s="10" t="n">
        <f aca="false">I35</f>
        <v>390513.804537496</v>
      </c>
      <c r="J39" s="10" t="n">
        <f aca="false">J35</f>
        <v>422193.133006381</v>
      </c>
      <c r="K39" s="10" t="n">
        <f aca="false">K35</f>
        <v>454622.930469145</v>
      </c>
      <c r="L39" s="10" t="n">
        <f aca="false">L35+((L34*(1+$B$32)/$Q$39)*(1-CashFlow!$B$5)-Debt!L21)</f>
        <v>9516617.66731175</v>
      </c>
      <c r="P39" s="53" t="n">
        <f aca="false">IRR(B39:L39)</f>
        <v>0.0763610577415677</v>
      </c>
      <c r="Q39" s="50" t="n">
        <v>0.07</v>
      </c>
    </row>
    <row r="40" customFormat="false" ht="15" hidden="true" customHeight="true" outlineLevel="1" collapsed="false">
      <c r="A40" s="52" t="s">
        <v>142</v>
      </c>
      <c r="B40" s="10" t="n">
        <f aca="false">-Summary!$C$19</f>
        <v>-6879250</v>
      </c>
      <c r="C40" s="10" t="n">
        <f aca="false">C35</f>
        <v>387356</v>
      </c>
      <c r="D40" s="10" t="n">
        <f aca="false">D35</f>
        <v>414874.4</v>
      </c>
      <c r="E40" s="10" t="n">
        <f aca="false">E35</f>
        <v>270969.081551598</v>
      </c>
      <c r="F40" s="10" t="n">
        <f aca="false">F35</f>
        <v>299811.685451597</v>
      </c>
      <c r="G40" s="10" t="n">
        <f aca="false">G35</f>
        <v>329339.413321097</v>
      </c>
      <c r="H40" s="10" t="n">
        <f aca="false">H35</f>
        <v>359568.068450694</v>
      </c>
      <c r="I40" s="10" t="n">
        <f aca="false">I35</f>
        <v>390513.804537496</v>
      </c>
      <c r="J40" s="10" t="n">
        <f aca="false">J35</f>
        <v>422193.133006381</v>
      </c>
      <c r="K40" s="10" t="n">
        <f aca="false">K35</f>
        <v>454622.930469145</v>
      </c>
      <c r="L40" s="10" t="n">
        <f aca="false">L35+((L34*(1+$B$32)/$Q$40)*(1-CashFlow!$B$5)-Debt!L21)</f>
        <v>8806321.91247417</v>
      </c>
      <c r="P40" s="53" t="n">
        <f aca="false">IRR(B40:L40)</f>
        <v>0.069662800975112</v>
      </c>
      <c r="Q40" s="50" t="n">
        <v>0.0725</v>
      </c>
    </row>
    <row r="41" customFormat="false" ht="15" hidden="true" customHeight="true" outlineLevel="1" collapsed="false"/>
    <row r="42" customFormat="false" ht="15" hidden="true" customHeight="true" outlineLevel="1" collapsed="false">
      <c r="A42" s="49" t="s">
        <v>144</v>
      </c>
      <c r="B42" s="50" t="n">
        <v>0.03</v>
      </c>
    </row>
    <row r="43" customFormat="false" ht="15" hidden="true" customHeight="true" outlineLevel="1" collapsed="false">
      <c r="A43" s="51" t="s">
        <v>135</v>
      </c>
      <c r="C43" s="10" t="n">
        <f aca="false">Operations!$G$7*(1+$B$42)^(1-1)*(1-Operations!$B$12)+Operations!$C$31*(1+$B$42)^(1-1)</f>
        <v>1820100</v>
      </c>
      <c r="D43" s="10" t="n">
        <f aca="false">Operations!$G$7*(1+$B$42)^(2-1)*(1-Operations!$B$12)+Operations!$C$31*(1+$B$42)^(2-1)</f>
        <v>1874703</v>
      </c>
      <c r="E43" s="10" t="n">
        <f aca="false">Operations!$G$7*(1+$B$42)^(3-1)*(1-Operations!$B$12)+Operations!$C$31*(1+$B$42)^(3-1)</f>
        <v>1930944.09</v>
      </c>
      <c r="F43" s="10" t="n">
        <f aca="false">Operations!$G$7*(1+$B$42)^(4-1)*(1-Operations!$B$12)+Operations!$C$31*(1+$B$42)^(4-1)</f>
        <v>1988872.4127</v>
      </c>
      <c r="G43" s="10" t="n">
        <f aca="false">Operations!$G$7*(1+$B$42)^(5-1)*(1-Operations!$B$12)+Operations!$C$31*(1+$B$42)^(5-1)</f>
        <v>2048538.585081</v>
      </c>
      <c r="H43" s="10" t="n">
        <f aca="false">Operations!$G$7*(1+$B$42)^(6-1)*(1-Operations!$B$12)+Operations!$C$31*(1+$B$42)^(6-1)</f>
        <v>2109994.74263343</v>
      </c>
      <c r="I43" s="10" t="n">
        <f aca="false">Operations!$G$7*(1+$B$42)^(7-1)*(1-Operations!$B$12)+Operations!$C$31*(1+$B$42)^(7-1)</f>
        <v>2173294.58491243</v>
      </c>
      <c r="J43" s="10" t="n">
        <f aca="false">Operations!$G$7*(1+$B$42)^(8-1)*(1-Operations!$B$12)+Operations!$C$31*(1+$B$42)^(8-1)</f>
        <v>2238493.42245981</v>
      </c>
      <c r="K43" s="10" t="n">
        <f aca="false">Operations!$G$7*(1+$B$42)^(9-1)*(1-Operations!$B$12)+Operations!$C$31*(1+$B$42)^(9-1)</f>
        <v>2305648.2251336</v>
      </c>
      <c r="L43" s="10" t="n">
        <f aca="false">Operations!$G$7*(1+$B$42)^(10-1)*(1-Operations!$B$12)+Operations!$C$31*(1+$B$42)^(10-1)</f>
        <v>2374817.67188761</v>
      </c>
    </row>
    <row r="44" customFormat="false" ht="15" hidden="true" customHeight="true" outlineLevel="1" collapsed="false">
      <c r="A44" s="51" t="s">
        <v>136</v>
      </c>
      <c r="C44" s="10" t="n">
        <f aca="false">C43-SUM(Operations!C34:C39)-Operations!$B$16*C43</f>
        <v>1155096</v>
      </c>
      <c r="D44" s="10" t="n">
        <f aca="false">D43-SUM(Operations!D34:D39)-Operations!$B$16*D43</f>
        <v>1192118.88</v>
      </c>
      <c r="E44" s="10" t="n">
        <f aca="false">E43-SUM(Operations!E34:E39)-Operations!$B$16*E43</f>
        <v>1230299.8464</v>
      </c>
      <c r="F44" s="10" t="n">
        <f aca="false">F43-SUM(Operations!F34:F39)-Operations!$B$16*F43</f>
        <v>1269674.589792</v>
      </c>
      <c r="G44" s="10" t="n">
        <f aca="false">G43-SUM(Operations!G34:G39)-Operations!$B$16*G43</f>
        <v>1310279.89044576</v>
      </c>
      <c r="H44" s="10" t="n">
        <f aca="false">H43-SUM(Operations!H34:H39)-Operations!$B$16*H43</f>
        <v>1352153.65137833</v>
      </c>
      <c r="I44" s="10" t="n">
        <f aca="false">I43-SUM(Operations!I34:I39)-Operations!$B$16*I43</f>
        <v>1395334.93242327</v>
      </c>
      <c r="J44" s="10" t="n">
        <f aca="false">J43-SUM(Operations!J34:J39)-Operations!$B$16*J43</f>
        <v>1439863.98532962</v>
      </c>
      <c r="K44" s="10" t="n">
        <f aca="false">K43-SUM(Operations!K34:K39)-Operations!$B$16*K43</f>
        <v>1485782.28992184</v>
      </c>
      <c r="L44" s="10" t="n">
        <f aca="false">L43-SUM(Operations!L34:L39)-Operations!$B$16*L43</f>
        <v>1533132.59135247</v>
      </c>
    </row>
    <row r="45" customFormat="false" ht="15" hidden="true" customHeight="true" outlineLevel="1" collapsed="false">
      <c r="A45" s="51" t="s">
        <v>137</v>
      </c>
      <c r="C45" s="10" t="n">
        <f aca="false">C44-Operations!C43-Debt!C20</f>
        <v>387356</v>
      </c>
      <c r="D45" s="10" t="n">
        <f aca="false">D44-Operations!D43-Debt!D20</f>
        <v>423610.88</v>
      </c>
      <c r="E45" s="10" t="n">
        <f aca="false">E44-Operations!E43-Debt!E20</f>
        <v>288922.547951598</v>
      </c>
      <c r="F45" s="10" t="n">
        <f aca="false">F44-Operations!F43-Debt!F20</f>
        <v>327482.520143598</v>
      </c>
      <c r="G45" s="10" t="n">
        <f aca="false">G44-Operations!G43-Debt!G20</f>
        <v>367248.606461358</v>
      </c>
      <c r="H45" s="10" t="n">
        <f aca="false">H44-Operations!H43-Debt!H20</f>
        <v>408257.976627851</v>
      </c>
      <c r="I45" s="10" t="n">
        <f aca="false">I44-Operations!I43-Debt!I20</f>
        <v>450548.935183722</v>
      </c>
      <c r="J45" s="10" t="n">
        <f aca="false">J44-Operations!J43-Debt!J20</f>
        <v>494160.955926342</v>
      </c>
      <c r="K45" s="10" t="n">
        <f aca="false">K44-Operations!K43-Debt!K20</f>
        <v>539134.717389913</v>
      </c>
      <c r="L45" s="10" t="n">
        <f aca="false">L44-Operations!L43-Debt!L20</f>
        <v>585512.139398038</v>
      </c>
    </row>
    <row r="46" customFormat="false" ht="15" hidden="true" customHeight="true" outlineLevel="1" collapsed="false">
      <c r="A46" s="52" t="s">
        <v>138</v>
      </c>
      <c r="B46" s="10" t="n">
        <f aca="false">-Summary!$C$19</f>
        <v>-6879250</v>
      </c>
      <c r="C46" s="10" t="n">
        <f aca="false">C45</f>
        <v>387356</v>
      </c>
      <c r="D46" s="10" t="n">
        <f aca="false">D45</f>
        <v>423610.88</v>
      </c>
      <c r="E46" s="10" t="n">
        <f aca="false">E45</f>
        <v>288922.547951598</v>
      </c>
      <c r="F46" s="10" t="n">
        <f aca="false">F45</f>
        <v>327482.520143598</v>
      </c>
      <c r="G46" s="10" t="n">
        <f aca="false">G45</f>
        <v>367248.606461358</v>
      </c>
      <c r="H46" s="10" t="n">
        <f aca="false">H45</f>
        <v>408257.976627851</v>
      </c>
      <c r="I46" s="10" t="n">
        <f aca="false">I45</f>
        <v>450548.935183722</v>
      </c>
      <c r="J46" s="10" t="n">
        <f aca="false">J45</f>
        <v>494160.955926342</v>
      </c>
      <c r="K46" s="10" t="n">
        <f aca="false">K45</f>
        <v>539134.717389913</v>
      </c>
      <c r="L46" s="10" t="n">
        <f aca="false">L45+((L44*(1+$B$42)/$Q$46)*(1-CashFlow!$B$5)-Debt!L21)</f>
        <v>13776437.0734752</v>
      </c>
      <c r="P46" s="53" t="n">
        <f aca="false">IRR(B46:L46)</f>
        <v>0.113285501354518</v>
      </c>
      <c r="Q46" s="50" t="n">
        <v>0.0625</v>
      </c>
    </row>
    <row r="47" customFormat="false" ht="15" hidden="true" customHeight="true" outlineLevel="1" collapsed="false">
      <c r="A47" s="52" t="s">
        <v>139</v>
      </c>
      <c r="B47" s="10" t="n">
        <f aca="false">-Summary!$C$19</f>
        <v>-6879250</v>
      </c>
      <c r="C47" s="10" t="n">
        <f aca="false">C45</f>
        <v>387356</v>
      </c>
      <c r="D47" s="10" t="n">
        <f aca="false">D45</f>
        <v>423610.88</v>
      </c>
      <c r="E47" s="10" t="n">
        <f aca="false">E45</f>
        <v>288922.547951598</v>
      </c>
      <c r="F47" s="10" t="n">
        <f aca="false">F45</f>
        <v>327482.520143598</v>
      </c>
      <c r="G47" s="10" t="n">
        <f aca="false">G45</f>
        <v>367248.606461358</v>
      </c>
      <c r="H47" s="10" t="n">
        <f aca="false">H45</f>
        <v>408257.976627851</v>
      </c>
      <c r="I47" s="10" t="n">
        <f aca="false">I45</f>
        <v>450548.935183722</v>
      </c>
      <c r="J47" s="10" t="n">
        <f aca="false">J45</f>
        <v>494160.955926342</v>
      </c>
      <c r="K47" s="10" t="n">
        <f aca="false">K45</f>
        <v>539134.717389913</v>
      </c>
      <c r="L47" s="10" t="n">
        <f aca="false">L45+((L44*(1+$B$42)/$Q$47)*(1-CashFlow!$B$5)-Debt!L21)</f>
        <v>12824102.2810376</v>
      </c>
      <c r="P47" s="53" t="n">
        <f aca="false">IRR(B47:L47)</f>
        <v>0.106741208433971</v>
      </c>
      <c r="Q47" s="50" t="n">
        <v>0.065</v>
      </c>
    </row>
    <row r="48" customFormat="false" ht="15" hidden="true" customHeight="true" outlineLevel="1" collapsed="false">
      <c r="A48" s="52" t="s">
        <v>140</v>
      </c>
      <c r="B48" s="10" t="n">
        <f aca="false">-Summary!$C$19</f>
        <v>-6879250</v>
      </c>
      <c r="C48" s="10" t="n">
        <f aca="false">C45</f>
        <v>387356</v>
      </c>
      <c r="D48" s="10" t="n">
        <f aca="false">D45</f>
        <v>423610.88</v>
      </c>
      <c r="E48" s="10" t="n">
        <f aca="false">E45</f>
        <v>288922.547951598</v>
      </c>
      <c r="F48" s="10" t="n">
        <f aca="false">F45</f>
        <v>327482.520143598</v>
      </c>
      <c r="G48" s="10" t="n">
        <f aca="false">G45</f>
        <v>367248.606461358</v>
      </c>
      <c r="H48" s="10" t="n">
        <f aca="false">H45</f>
        <v>408257.976627851</v>
      </c>
      <c r="I48" s="10" t="n">
        <f aca="false">I45</f>
        <v>450548.935183722</v>
      </c>
      <c r="J48" s="10" t="n">
        <f aca="false">J45</f>
        <v>494160.955926342</v>
      </c>
      <c r="K48" s="10" t="n">
        <f aca="false">K45</f>
        <v>539134.717389913</v>
      </c>
      <c r="L48" s="10" t="n">
        <f aca="false">L45+((L44*(1+$B$42)/$Q$48)*(1-CashFlow!$B$5)-Debt!L21)</f>
        <v>11942310.8065583</v>
      </c>
      <c r="P48" s="53" t="n">
        <f aca="false">IRR(B48:L48)</f>
        <v>0.100327872417679</v>
      </c>
      <c r="Q48" s="50" t="n">
        <v>0.0675</v>
      </c>
    </row>
    <row r="49" customFormat="false" ht="15" hidden="true" customHeight="true" outlineLevel="1" collapsed="false">
      <c r="A49" s="52" t="s">
        <v>141</v>
      </c>
      <c r="B49" s="10" t="n">
        <f aca="false">-Summary!$C$19</f>
        <v>-6879250</v>
      </c>
      <c r="C49" s="10" t="n">
        <f aca="false">C45</f>
        <v>387356</v>
      </c>
      <c r="D49" s="10" t="n">
        <f aca="false">D45</f>
        <v>423610.88</v>
      </c>
      <c r="E49" s="10" t="n">
        <f aca="false">E45</f>
        <v>288922.547951598</v>
      </c>
      <c r="F49" s="10" t="n">
        <f aca="false">F45</f>
        <v>327482.520143598</v>
      </c>
      <c r="G49" s="10" t="n">
        <f aca="false">G45</f>
        <v>367248.606461358</v>
      </c>
      <c r="H49" s="10" t="n">
        <f aca="false">H45</f>
        <v>408257.976627851</v>
      </c>
      <c r="I49" s="10" t="n">
        <f aca="false">I45</f>
        <v>450548.935183722</v>
      </c>
      <c r="J49" s="10" t="n">
        <f aca="false">J45</f>
        <v>494160.955926342</v>
      </c>
      <c r="K49" s="10" t="n">
        <f aca="false">K45</f>
        <v>539134.717389913</v>
      </c>
      <c r="L49" s="10" t="n">
        <f aca="false">L45+((L44*(1+$B$42)/$Q$49)*(1-CashFlow!$B$5)-Debt!L21)</f>
        <v>11123504.4373989</v>
      </c>
      <c r="P49" s="53" t="n">
        <f aca="false">IRR(B49:L49)</f>
        <v>0.0940288269360375</v>
      </c>
      <c r="Q49" s="50" t="n">
        <v>0.07</v>
      </c>
    </row>
    <row r="50" customFormat="false" ht="15" hidden="true" customHeight="true" outlineLevel="1" collapsed="false">
      <c r="A50" s="52" t="s">
        <v>142</v>
      </c>
      <c r="B50" s="10" t="n">
        <f aca="false">-Summary!$C$19</f>
        <v>-6879250</v>
      </c>
      <c r="C50" s="10" t="n">
        <f aca="false">C45</f>
        <v>387356</v>
      </c>
      <c r="D50" s="10" t="n">
        <f aca="false">D45</f>
        <v>423610.88</v>
      </c>
      <c r="E50" s="10" t="n">
        <f aca="false">E45</f>
        <v>288922.547951598</v>
      </c>
      <c r="F50" s="10" t="n">
        <f aca="false">F45</f>
        <v>327482.520143598</v>
      </c>
      <c r="G50" s="10" t="n">
        <f aca="false">G45</f>
        <v>367248.606461358</v>
      </c>
      <c r="H50" s="10" t="n">
        <f aca="false">H45</f>
        <v>408257.976627851</v>
      </c>
      <c r="I50" s="10" t="n">
        <f aca="false">I45</f>
        <v>450548.935183722</v>
      </c>
      <c r="J50" s="10" t="n">
        <f aca="false">J45</f>
        <v>494160.955926342</v>
      </c>
      <c r="K50" s="10" t="n">
        <f aca="false">K45</f>
        <v>539134.717389913</v>
      </c>
      <c r="L50" s="10" t="n">
        <f aca="false">L45+((L44*(1+$B$42)/$Q$50)*(1-CashFlow!$B$5)-Debt!L21)</f>
        <v>10361167.4730092</v>
      </c>
      <c r="P50" s="53" t="n">
        <f aca="false">IRR(B50:L50)</f>
        <v>0.0878286779853256</v>
      </c>
      <c r="Q50" s="50" t="n">
        <v>0.0725</v>
      </c>
    </row>
    <row r="51" customFormat="false" ht="15" hidden="true" customHeight="true" outlineLevel="1" collapsed="false"/>
    <row r="52" customFormat="false" ht="15" hidden="true" customHeight="true" outlineLevel="1" collapsed="false">
      <c r="A52" s="49" t="s">
        <v>145</v>
      </c>
      <c r="B52" s="50" t="n">
        <v>0.035</v>
      </c>
    </row>
    <row r="53" customFormat="false" ht="15" hidden="true" customHeight="true" outlineLevel="1" collapsed="false">
      <c r="A53" s="51" t="s">
        <v>135</v>
      </c>
      <c r="C53" s="10" t="n">
        <f aca="false">Operations!$G$7*(1+$B$52)^(1-1)*(1-Operations!$B$12)+Operations!$C$31*(1+$B$52)^(1-1)</f>
        <v>1820100</v>
      </c>
      <c r="D53" s="10" t="n">
        <f aca="false">Operations!$G$7*(1+$B$52)^(2-1)*(1-Operations!$B$12)+Operations!$C$31*(1+$B$52)^(2-1)</f>
        <v>1883803.5</v>
      </c>
      <c r="E53" s="10" t="n">
        <f aca="false">Operations!$G$7*(1+$B$52)^(3-1)*(1-Operations!$B$12)+Operations!$C$31*(1+$B$52)^(3-1)</f>
        <v>1949736.6225</v>
      </c>
      <c r="F53" s="10" t="n">
        <f aca="false">Operations!$G$7*(1+$B$52)^(4-1)*(1-Operations!$B$12)+Operations!$C$31*(1+$B$52)^(4-1)</f>
        <v>2017977.4042875</v>
      </c>
      <c r="G53" s="10" t="n">
        <f aca="false">Operations!$G$7*(1+$B$52)^(5-1)*(1-Operations!$B$12)+Operations!$C$31*(1+$B$52)^(5-1)</f>
        <v>2088606.61343756</v>
      </c>
      <c r="H53" s="10" t="n">
        <f aca="false">Operations!$G$7*(1+$B$52)^(6-1)*(1-Operations!$B$12)+Operations!$C$31*(1+$B$52)^(6-1)</f>
        <v>2161707.84490788</v>
      </c>
      <c r="I53" s="10" t="n">
        <f aca="false">Operations!$G$7*(1+$B$52)^(7-1)*(1-Operations!$B$12)+Operations!$C$31*(1+$B$52)^(7-1)</f>
        <v>2237367.61947965</v>
      </c>
      <c r="J53" s="10" t="n">
        <f aca="false">Operations!$G$7*(1+$B$52)^(8-1)*(1-Operations!$B$12)+Operations!$C$31*(1+$B$52)^(8-1)</f>
        <v>2315675.48616144</v>
      </c>
      <c r="K53" s="10" t="n">
        <f aca="false">Operations!$G$7*(1+$B$52)^(9-1)*(1-Operations!$B$12)+Operations!$C$31*(1+$B$52)^(9-1)</f>
        <v>2396724.12817709</v>
      </c>
      <c r="L53" s="10" t="n">
        <f aca="false">Operations!$G$7*(1+$B$52)^(10-1)*(1-Operations!$B$12)+Operations!$C$31*(1+$B$52)^(10-1)</f>
        <v>2480609.47266329</v>
      </c>
    </row>
    <row r="54" customFormat="false" ht="15" hidden="true" customHeight="true" outlineLevel="1" collapsed="false">
      <c r="A54" s="51" t="s">
        <v>136</v>
      </c>
      <c r="C54" s="10" t="n">
        <f aca="false">C53-SUM(Operations!C34:C39)-Operations!$B$16*C53</f>
        <v>1155096</v>
      </c>
      <c r="D54" s="10" t="n">
        <f aca="false">D53-SUM(Operations!D34:D39)-Operations!$B$16*D53</f>
        <v>1200855.36</v>
      </c>
      <c r="E54" s="10" t="n">
        <f aca="false">E53-SUM(Operations!E34:E39)-Operations!$B$16*E53</f>
        <v>1248340.6776</v>
      </c>
      <c r="F54" s="10" t="n">
        <f aca="false">F53-SUM(Operations!F34:F39)-Operations!$B$16*F53</f>
        <v>1297615.381716</v>
      </c>
      <c r="G54" s="10" t="n">
        <f aca="false">G53-SUM(Operations!G34:G39)-Operations!$B$16*G53</f>
        <v>1348745.19766806</v>
      </c>
      <c r="H54" s="10" t="n">
        <f aca="false">H53-SUM(Operations!H34:H39)-Operations!$B$16*H53</f>
        <v>1401798.2295618</v>
      </c>
      <c r="I54" s="10" t="n">
        <f aca="false">I53-SUM(Operations!I34:I39)-Operations!$B$16*I53</f>
        <v>1456845.0456078</v>
      </c>
      <c r="J54" s="10" t="n">
        <f aca="false">J53-SUM(Operations!J34:J39)-Operations!$B$16*J53</f>
        <v>1513958.76648319</v>
      </c>
      <c r="K54" s="10" t="n">
        <f aca="false">K53-SUM(Operations!K34:K39)-Operations!$B$16*K53</f>
        <v>1573215.15684359</v>
      </c>
      <c r="L54" s="10" t="n">
        <f aca="false">L53-SUM(Operations!L34:L39)-Operations!$B$16*L53</f>
        <v>1634692.72009712</v>
      </c>
    </row>
    <row r="55" customFormat="false" ht="15" hidden="true" customHeight="true" outlineLevel="1" collapsed="false">
      <c r="A55" s="51" t="s">
        <v>137</v>
      </c>
      <c r="C55" s="10" t="n">
        <f aca="false">C54-Operations!C43-Debt!C20</f>
        <v>387356</v>
      </c>
      <c r="D55" s="10" t="n">
        <f aca="false">D54-Operations!D43-Debt!D20</f>
        <v>432347.36</v>
      </c>
      <c r="E55" s="10" t="n">
        <f aca="false">E54-Operations!E43-Debt!E20</f>
        <v>306963.379151598</v>
      </c>
      <c r="F55" s="10" t="n">
        <f aca="false">F54-Operations!F43-Debt!F20</f>
        <v>355423.312067598</v>
      </c>
      <c r="G55" s="10" t="n">
        <f aca="false">G54-Operations!G43-Debt!G20</f>
        <v>405713.913683657</v>
      </c>
      <c r="H55" s="10" t="n">
        <f aca="false">H54-Operations!H43-Debt!H20</f>
        <v>457902.554811319</v>
      </c>
      <c r="I55" s="10" t="n">
        <f aca="false">I54-Operations!I43-Debt!I20</f>
        <v>512059.048368252</v>
      </c>
      <c r="J55" s="10" t="n">
        <f aca="false">J54-Operations!J43-Debt!J20</f>
        <v>568255.737079909</v>
      </c>
      <c r="K55" s="10" t="n">
        <f aca="false">K54-Operations!K43-Debt!K20</f>
        <v>626567.584311663</v>
      </c>
      <c r="L55" s="10" t="n">
        <f aca="false">L54-Operations!L43-Debt!L20</f>
        <v>687072.26814269</v>
      </c>
    </row>
    <row r="56" customFormat="false" ht="15" hidden="true" customHeight="true" outlineLevel="1" collapsed="false">
      <c r="A56" s="52" t="s">
        <v>138</v>
      </c>
      <c r="B56" s="10" t="n">
        <f aca="false">-Summary!$C$19</f>
        <v>-6879250</v>
      </c>
      <c r="C56" s="10" t="n">
        <f aca="false">C55</f>
        <v>387356</v>
      </c>
      <c r="D56" s="10" t="n">
        <f aca="false">D55</f>
        <v>432347.36</v>
      </c>
      <c r="E56" s="10" t="n">
        <f aca="false">E55</f>
        <v>306963.379151598</v>
      </c>
      <c r="F56" s="10" t="n">
        <f aca="false">F55</f>
        <v>355423.312067598</v>
      </c>
      <c r="G56" s="10" t="n">
        <f aca="false">G55</f>
        <v>405713.913683657</v>
      </c>
      <c r="H56" s="10" t="n">
        <f aca="false">H55</f>
        <v>457902.554811319</v>
      </c>
      <c r="I56" s="10" t="n">
        <f aca="false">I55</f>
        <v>512059.048368252</v>
      </c>
      <c r="J56" s="10" t="n">
        <f aca="false">J55</f>
        <v>568255.737079909</v>
      </c>
      <c r="K56" s="10" t="n">
        <f aca="false">K55</f>
        <v>626567.584311663</v>
      </c>
      <c r="L56" s="10" t="n">
        <f aca="false">L55+((L54*(1+$B$52)/$Q$56)*(1-CashFlow!$B$5)-Debt!L21)</f>
        <v>15646393.8147531</v>
      </c>
      <c r="P56" s="53" t="n">
        <f aca="false">IRR(B56:L56)</f>
        <v>0.128446264165529</v>
      </c>
      <c r="Q56" s="50" t="n">
        <v>0.0625</v>
      </c>
    </row>
    <row r="57" customFormat="false" ht="15" hidden="true" customHeight="true" outlineLevel="1" collapsed="false">
      <c r="A57" s="52" t="s">
        <v>139</v>
      </c>
      <c r="B57" s="10" t="n">
        <f aca="false">-Summary!$C$19</f>
        <v>-6879250</v>
      </c>
      <c r="C57" s="10" t="n">
        <f aca="false">C55</f>
        <v>387356</v>
      </c>
      <c r="D57" s="10" t="n">
        <f aca="false">D55</f>
        <v>432347.36</v>
      </c>
      <c r="E57" s="10" t="n">
        <f aca="false">E55</f>
        <v>306963.379151598</v>
      </c>
      <c r="F57" s="10" t="n">
        <f aca="false">F55</f>
        <v>355423.312067598</v>
      </c>
      <c r="G57" s="10" t="n">
        <f aca="false">G55</f>
        <v>405713.913683657</v>
      </c>
      <c r="H57" s="10" t="n">
        <f aca="false">H55</f>
        <v>457902.554811319</v>
      </c>
      <c r="I57" s="10" t="n">
        <f aca="false">I55</f>
        <v>512059.048368252</v>
      </c>
      <c r="J57" s="10" t="n">
        <f aca="false">J55</f>
        <v>568255.737079909</v>
      </c>
      <c r="K57" s="10" t="n">
        <f aca="false">K55</f>
        <v>626567.584311663</v>
      </c>
      <c r="L57" s="10" t="n">
        <f aca="false">L55+((L54*(1+$B$52)/$Q$57)*(1-CashFlow!$B$5)-Debt!L21)</f>
        <v>14626043.7679873</v>
      </c>
      <c r="P57" s="53" t="n">
        <f aca="false">IRR(B57:L57)</f>
        <v>0.122237156108256</v>
      </c>
      <c r="Q57" s="50" t="n">
        <v>0.065</v>
      </c>
    </row>
    <row r="58" customFormat="false" ht="15" hidden="true" customHeight="true" outlineLevel="1" collapsed="false">
      <c r="A58" s="52" t="s">
        <v>140</v>
      </c>
      <c r="B58" s="10" t="n">
        <f aca="false">-Summary!$C$19</f>
        <v>-6879250</v>
      </c>
      <c r="C58" s="10" t="n">
        <f aca="false">C55</f>
        <v>387356</v>
      </c>
      <c r="D58" s="10" t="n">
        <f aca="false">D55</f>
        <v>432347.36</v>
      </c>
      <c r="E58" s="10" t="n">
        <f aca="false">E55</f>
        <v>306963.379151598</v>
      </c>
      <c r="F58" s="10" t="n">
        <f aca="false">F55</f>
        <v>355423.312067598</v>
      </c>
      <c r="G58" s="10" t="n">
        <f aca="false">G55</f>
        <v>405713.913683657</v>
      </c>
      <c r="H58" s="10" t="n">
        <f aca="false">H55</f>
        <v>457902.554811319</v>
      </c>
      <c r="I58" s="10" t="n">
        <f aca="false">I55</f>
        <v>512059.048368252</v>
      </c>
      <c r="J58" s="10" t="n">
        <f aca="false">J55</f>
        <v>568255.737079909</v>
      </c>
      <c r="K58" s="10" t="n">
        <f aca="false">K55</f>
        <v>626567.584311663</v>
      </c>
      <c r="L58" s="10" t="n">
        <f aca="false">L55+((L54*(1+$B$52)/$Q$58)*(1-CashFlow!$B$5)-Debt!L21)</f>
        <v>13681275.206167</v>
      </c>
      <c r="P58" s="53" t="n">
        <f aca="false">IRR(B58:L58)</f>
        <v>0.116174552990307</v>
      </c>
      <c r="Q58" s="50" t="n">
        <v>0.0675</v>
      </c>
    </row>
    <row r="59" customFormat="false" ht="15" hidden="true" customHeight="true" outlineLevel="1" collapsed="false">
      <c r="A59" s="52" t="s">
        <v>141</v>
      </c>
      <c r="B59" s="10" t="n">
        <f aca="false">-Summary!$C$19</f>
        <v>-6879250</v>
      </c>
      <c r="C59" s="10" t="n">
        <f aca="false">C55</f>
        <v>387356</v>
      </c>
      <c r="D59" s="10" t="n">
        <f aca="false">D55</f>
        <v>432347.36</v>
      </c>
      <c r="E59" s="10" t="n">
        <f aca="false">E55</f>
        <v>306963.379151598</v>
      </c>
      <c r="F59" s="10" t="n">
        <f aca="false">F55</f>
        <v>355423.312067598</v>
      </c>
      <c r="G59" s="10" t="n">
        <f aca="false">G55</f>
        <v>405713.913683657</v>
      </c>
      <c r="H59" s="10" t="n">
        <f aca="false">H55</f>
        <v>457902.554811319</v>
      </c>
      <c r="I59" s="10" t="n">
        <f aca="false">I55</f>
        <v>512059.048368252</v>
      </c>
      <c r="J59" s="10" t="n">
        <f aca="false">J55</f>
        <v>568255.737079909</v>
      </c>
      <c r="K59" s="10" t="n">
        <f aca="false">K55</f>
        <v>626567.584311663</v>
      </c>
      <c r="L59" s="10" t="n">
        <f aca="false">L55+((L54*(1+$B$52)/$Q$59)*(1-CashFlow!$B$5)-Debt!L21)</f>
        <v>12803990.1130482</v>
      </c>
      <c r="P59" s="53" t="n">
        <f aca="false">IRR(B59:L59)</f>
        <v>0.110242851880686</v>
      </c>
      <c r="Q59" s="50" t="n">
        <v>0.07</v>
      </c>
    </row>
    <row r="60" customFormat="false" ht="15" hidden="true" customHeight="true" outlineLevel="1" collapsed="false">
      <c r="A60" s="52" t="s">
        <v>142</v>
      </c>
      <c r="B60" s="10" t="n">
        <f aca="false">-Summary!$C$19</f>
        <v>-6879250</v>
      </c>
      <c r="C60" s="10" t="n">
        <f aca="false">C55</f>
        <v>387356</v>
      </c>
      <c r="D60" s="10" t="n">
        <f aca="false">D55</f>
        <v>432347.36</v>
      </c>
      <c r="E60" s="10" t="n">
        <f aca="false">E55</f>
        <v>306963.379151598</v>
      </c>
      <c r="F60" s="10" t="n">
        <f aca="false">F55</f>
        <v>355423.312067598</v>
      </c>
      <c r="G60" s="10" t="n">
        <f aca="false">G55</f>
        <v>405713.913683657</v>
      </c>
      <c r="H60" s="10" t="n">
        <f aca="false">H55</f>
        <v>457902.554811319</v>
      </c>
      <c r="I60" s="10" t="n">
        <f aca="false">I55</f>
        <v>512059.048368252</v>
      </c>
      <c r="J60" s="10" t="n">
        <f aca="false">J55</f>
        <v>568255.737079909</v>
      </c>
      <c r="K60" s="10" t="n">
        <f aca="false">K55</f>
        <v>626567.584311663</v>
      </c>
      <c r="L60" s="10" t="n">
        <f aca="false">L55+((L54*(1+$B$52)/$Q$60)*(1-CashFlow!$B$5)-Debt!L21)</f>
        <v>11987207.4401445</v>
      </c>
      <c r="P60" s="53" t="n">
        <f aca="false">IRR(B60:L60)</f>
        <v>0.104427845968918</v>
      </c>
      <c r="Q60" s="50" t="n">
        <v>0.0725</v>
      </c>
    </row>
    <row r="61" customFormat="false" ht="15" hidden="true" customHeight="true" outlineLevel="1" collapsed="false"/>
    <row r="62" customFormat="false" ht="15" hidden="true" customHeight="true" outlineLevel="1" collapsed="false">
      <c r="A62" s="49" t="s">
        <v>146</v>
      </c>
      <c r="B62" s="50" t="n">
        <v>0.04</v>
      </c>
    </row>
    <row r="63" customFormat="false" ht="15" hidden="true" customHeight="true" outlineLevel="1" collapsed="false">
      <c r="A63" s="51" t="s">
        <v>135</v>
      </c>
      <c r="C63" s="10" t="n">
        <f aca="false">Operations!$G$7*(1+$B$62)^(1-1)*(1-Operations!$B$12)+Operations!$C$31*(1+$B$62)^(1-1)</f>
        <v>1820100</v>
      </c>
      <c r="D63" s="10" t="n">
        <f aca="false">Operations!$G$7*(1+$B$62)^(2-1)*(1-Operations!$B$12)+Operations!$C$31*(1+$B$62)^(2-1)</f>
        <v>1892904</v>
      </c>
      <c r="E63" s="10" t="n">
        <f aca="false">Operations!$G$7*(1+$B$62)^(3-1)*(1-Operations!$B$12)+Operations!$C$31*(1+$B$62)^(3-1)</f>
        <v>1968620.16</v>
      </c>
      <c r="F63" s="10" t="n">
        <f aca="false">Operations!$G$7*(1+$B$62)^(4-1)*(1-Operations!$B$12)+Operations!$C$31*(1+$B$62)^(4-1)</f>
        <v>2047364.9664</v>
      </c>
      <c r="G63" s="10" t="n">
        <f aca="false">Operations!$G$7*(1+$B$62)^(5-1)*(1-Operations!$B$12)+Operations!$C$31*(1+$B$62)^(5-1)</f>
        <v>2129259.565056</v>
      </c>
      <c r="H63" s="10" t="n">
        <f aca="false">Operations!$G$7*(1+$B$62)^(6-1)*(1-Operations!$B$12)+Operations!$C$31*(1+$B$62)^(6-1)</f>
        <v>2214429.94765824</v>
      </c>
      <c r="I63" s="10" t="n">
        <f aca="false">Operations!$G$7*(1+$B$62)^(7-1)*(1-Operations!$B$12)+Operations!$C$31*(1+$B$62)^(7-1)</f>
        <v>2303007.14556457</v>
      </c>
      <c r="J63" s="10" t="n">
        <f aca="false">Operations!$G$7*(1+$B$62)^(8-1)*(1-Operations!$B$12)+Operations!$C$31*(1+$B$62)^(8-1)</f>
        <v>2395127.43138715</v>
      </c>
      <c r="K63" s="10" t="n">
        <f aca="false">Operations!$G$7*(1+$B$62)^(9-1)*(1-Operations!$B$12)+Operations!$C$31*(1+$B$62)^(9-1)</f>
        <v>2490932.52864264</v>
      </c>
      <c r="L63" s="10" t="n">
        <f aca="false">Operations!$G$7*(1+$B$62)^(10-1)*(1-Operations!$B$12)+Operations!$C$31*(1+$B$62)^(10-1)</f>
        <v>2590569.82978835</v>
      </c>
    </row>
    <row r="64" customFormat="false" ht="15" hidden="true" customHeight="true" outlineLevel="1" collapsed="false">
      <c r="A64" s="51" t="s">
        <v>136</v>
      </c>
      <c r="C64" s="10" t="n">
        <f aca="false">C63-SUM(Operations!C34:C39)-Operations!$B$16*C63</f>
        <v>1155096</v>
      </c>
      <c r="D64" s="10" t="n">
        <f aca="false">D63-SUM(Operations!D34:D39)-Operations!$B$16*D63</f>
        <v>1209591.84</v>
      </c>
      <c r="E64" s="10" t="n">
        <f aca="false">E63-SUM(Operations!E34:E39)-Operations!$B$16*E63</f>
        <v>1266468.8736</v>
      </c>
      <c r="F64" s="10" t="n">
        <f aca="false">F63-SUM(Operations!F34:F39)-Operations!$B$16*F63</f>
        <v>1325827.441344</v>
      </c>
      <c r="G64" s="10" t="n">
        <f aca="false">G63-SUM(Operations!G34:G39)-Operations!$B$16*G63</f>
        <v>1387772.03122176</v>
      </c>
      <c r="H64" s="10" t="n">
        <f aca="false">H63-SUM(Operations!H34:H39)-Operations!$B$16*H63</f>
        <v>1452411.44820215</v>
      </c>
      <c r="I64" s="10" t="n">
        <f aca="false">I63-SUM(Operations!I34:I39)-Operations!$B$16*I63</f>
        <v>1519858.99064932</v>
      </c>
      <c r="J64" s="10" t="n">
        <f aca="false">J63-SUM(Operations!J34:J39)-Operations!$B$16*J63</f>
        <v>1590232.63389987</v>
      </c>
      <c r="K64" s="10" t="n">
        <f aca="false">K63-SUM(Operations!K34:K39)-Operations!$B$16*K63</f>
        <v>1663655.22129051</v>
      </c>
      <c r="L64" s="10" t="n">
        <f aca="false">L63-SUM(Operations!L34:L39)-Operations!$B$16*L63</f>
        <v>1740254.66293718</v>
      </c>
    </row>
    <row r="65" customFormat="false" ht="15" hidden="true" customHeight="true" outlineLevel="1" collapsed="false">
      <c r="A65" s="51" t="s">
        <v>137</v>
      </c>
      <c r="C65" s="10" t="n">
        <f aca="false">C64-Operations!C43-Debt!C20</f>
        <v>387356</v>
      </c>
      <c r="D65" s="10" t="n">
        <f aca="false">D64-Operations!D43-Debt!D20</f>
        <v>441083.84</v>
      </c>
      <c r="E65" s="10" t="n">
        <f aca="false">E64-Operations!E43-Debt!E20</f>
        <v>325091.575151598</v>
      </c>
      <c r="F65" s="10" t="n">
        <f aca="false">F64-Operations!F43-Debt!F20</f>
        <v>383635.371695598</v>
      </c>
      <c r="G65" s="10" t="n">
        <f aca="false">G64-Operations!G43-Debt!G20</f>
        <v>444740.747237359</v>
      </c>
      <c r="H65" s="10" t="n">
        <f aca="false">H64-Operations!H43-Debt!H20</f>
        <v>508515.773451668</v>
      </c>
      <c r="I65" s="10" t="n">
        <f aca="false">I64-Operations!I43-Debt!I20</f>
        <v>575072.993409774</v>
      </c>
      <c r="J65" s="10" t="n">
        <f aca="false">J64-Operations!J43-Debt!J20</f>
        <v>644529.604496595</v>
      </c>
      <c r="K65" s="10" t="n">
        <f aca="false">K64-Operations!K43-Debt!K20</f>
        <v>717007.64875859</v>
      </c>
      <c r="L65" s="10" t="n">
        <f aca="false">L64-Operations!L43-Debt!L20</f>
        <v>792634.210982745</v>
      </c>
    </row>
    <row r="66" customFormat="false" ht="15" hidden="true" customHeight="true" outlineLevel="1" collapsed="false">
      <c r="A66" s="52" t="s">
        <v>138</v>
      </c>
      <c r="B66" s="10" t="n">
        <f aca="false">-Summary!$C$19</f>
        <v>-6879250</v>
      </c>
      <c r="C66" s="10" t="n">
        <f aca="false">C65</f>
        <v>387356</v>
      </c>
      <c r="D66" s="10" t="n">
        <f aca="false">D65</f>
        <v>441083.84</v>
      </c>
      <c r="E66" s="10" t="n">
        <f aca="false">E65</f>
        <v>325091.575151598</v>
      </c>
      <c r="F66" s="10" t="n">
        <f aca="false">F65</f>
        <v>383635.371695598</v>
      </c>
      <c r="G66" s="10" t="n">
        <f aca="false">G65</f>
        <v>444740.747237359</v>
      </c>
      <c r="H66" s="10" t="n">
        <f aca="false">H65</f>
        <v>508515.773451668</v>
      </c>
      <c r="I66" s="10" t="n">
        <f aca="false">I65</f>
        <v>575072.993409774</v>
      </c>
      <c r="J66" s="10" t="n">
        <f aca="false">J65</f>
        <v>644529.604496595</v>
      </c>
      <c r="K66" s="10" t="n">
        <f aca="false">K65</f>
        <v>717007.64875859</v>
      </c>
      <c r="L66" s="10" t="n">
        <f aca="false">L65+((L64*(1+$B$62)/$Q$66)*(1-CashFlow!$B$5)-Debt!L21)</f>
        <v>17601535.3811301</v>
      </c>
      <c r="P66" s="53" t="n">
        <f aca="false">IRR(B66:L66)</f>
        <v>0.142651472925496</v>
      </c>
      <c r="Q66" s="50" t="n">
        <v>0.0625</v>
      </c>
    </row>
    <row r="67" customFormat="false" ht="15" hidden="true" customHeight="true" outlineLevel="1" collapsed="false">
      <c r="A67" s="52" t="s">
        <v>139</v>
      </c>
      <c r="B67" s="10" t="n">
        <f aca="false">-Summary!$C$19</f>
        <v>-6879250</v>
      </c>
      <c r="C67" s="10" t="n">
        <f aca="false">C65</f>
        <v>387356</v>
      </c>
      <c r="D67" s="10" t="n">
        <f aca="false">D65</f>
        <v>441083.84</v>
      </c>
      <c r="E67" s="10" t="n">
        <f aca="false">E65</f>
        <v>325091.575151598</v>
      </c>
      <c r="F67" s="10" t="n">
        <f aca="false">F65</f>
        <v>383635.371695598</v>
      </c>
      <c r="G67" s="10" t="n">
        <f aca="false">G65</f>
        <v>444740.747237359</v>
      </c>
      <c r="H67" s="10" t="n">
        <f aca="false">H65</f>
        <v>508515.773451668</v>
      </c>
      <c r="I67" s="10" t="n">
        <f aca="false">I65</f>
        <v>575072.993409774</v>
      </c>
      <c r="J67" s="10" t="n">
        <f aca="false">J65</f>
        <v>644529.604496595</v>
      </c>
      <c r="K67" s="10" t="n">
        <f aca="false">K65</f>
        <v>717007.64875859</v>
      </c>
      <c r="L67" s="10" t="n">
        <f aca="false">L65+((L64*(1+$B$62)/$Q$67)*(1-CashFlow!$B$5)-Debt!L21)</f>
        <v>16510047.6565359</v>
      </c>
      <c r="P67" s="53" t="n">
        <f aca="false">IRR(B67:L67)</f>
        <v>0.136713977580578</v>
      </c>
      <c r="Q67" s="50" t="n">
        <v>0.065</v>
      </c>
    </row>
    <row r="68" customFormat="false" ht="15" hidden="true" customHeight="true" outlineLevel="1" collapsed="false">
      <c r="A68" s="52" t="s">
        <v>140</v>
      </c>
      <c r="B68" s="10" t="n">
        <f aca="false">-Summary!$C$19</f>
        <v>-6879250</v>
      </c>
      <c r="C68" s="10" t="n">
        <f aca="false">C65</f>
        <v>387356</v>
      </c>
      <c r="D68" s="10" t="n">
        <f aca="false">D65</f>
        <v>441083.84</v>
      </c>
      <c r="E68" s="10" t="n">
        <f aca="false">E65</f>
        <v>325091.575151598</v>
      </c>
      <c r="F68" s="10" t="n">
        <f aca="false">F65</f>
        <v>383635.371695598</v>
      </c>
      <c r="G68" s="10" t="n">
        <f aca="false">G65</f>
        <v>444740.747237359</v>
      </c>
      <c r="H68" s="10" t="n">
        <f aca="false">H65</f>
        <v>508515.773451668</v>
      </c>
      <c r="I68" s="10" t="n">
        <f aca="false">I65</f>
        <v>575072.993409774</v>
      </c>
      <c r="J68" s="10" t="n">
        <f aca="false">J65</f>
        <v>644529.604496595</v>
      </c>
      <c r="K68" s="10" t="n">
        <f aca="false">K65</f>
        <v>717007.64875859</v>
      </c>
      <c r="L68" s="10" t="n">
        <f aca="false">L65+((L64*(1+$B$62)/$Q$68)*(1-CashFlow!$B$5)-Debt!L21)</f>
        <v>15499410.8745043</v>
      </c>
      <c r="P68" s="53" t="n">
        <f aca="false">IRR(B68:L68)</f>
        <v>0.130933767987344</v>
      </c>
      <c r="Q68" s="50" t="n">
        <v>0.0675</v>
      </c>
    </row>
    <row r="69" customFormat="false" ht="15" hidden="true" customHeight="true" outlineLevel="1" collapsed="false">
      <c r="A69" s="52" t="s">
        <v>141</v>
      </c>
      <c r="B69" s="10" t="n">
        <f aca="false">-Summary!$C$19</f>
        <v>-6879250</v>
      </c>
      <c r="C69" s="10" t="n">
        <f aca="false">C65</f>
        <v>387356</v>
      </c>
      <c r="D69" s="10" t="n">
        <f aca="false">D65</f>
        <v>441083.84</v>
      </c>
      <c r="E69" s="10" t="n">
        <f aca="false">E65</f>
        <v>325091.575151598</v>
      </c>
      <c r="F69" s="10" t="n">
        <f aca="false">F65</f>
        <v>383635.371695598</v>
      </c>
      <c r="G69" s="10" t="n">
        <f aca="false">G65</f>
        <v>444740.747237359</v>
      </c>
      <c r="H69" s="10" t="n">
        <f aca="false">H65</f>
        <v>508515.773451668</v>
      </c>
      <c r="I69" s="10" t="n">
        <f aca="false">I65</f>
        <v>575072.993409774</v>
      </c>
      <c r="J69" s="10" t="n">
        <f aca="false">J65</f>
        <v>644529.604496595</v>
      </c>
      <c r="K69" s="10" t="n">
        <f aca="false">K65</f>
        <v>717007.64875859</v>
      </c>
      <c r="L69" s="10" t="n">
        <f aca="false">L65+((L64*(1+$B$62)/$Q$69)*(1-CashFlow!$B$5)-Debt!L21)</f>
        <v>14560962.4340463</v>
      </c>
      <c r="P69" s="53" t="n">
        <f aca="false">IRR(B69:L69)</f>
        <v>0.125295831214282</v>
      </c>
      <c r="Q69" s="50" t="n">
        <v>0.07</v>
      </c>
    </row>
    <row r="70" customFormat="false" ht="15" hidden="true" customHeight="true" outlineLevel="1" collapsed="false">
      <c r="A70" s="52" t="s">
        <v>142</v>
      </c>
      <c r="B70" s="10" t="n">
        <f aca="false">-Summary!$C$19</f>
        <v>-6879250</v>
      </c>
      <c r="C70" s="10" t="n">
        <f aca="false">C65</f>
        <v>387356</v>
      </c>
      <c r="D70" s="10" t="n">
        <f aca="false">D65</f>
        <v>441083.84</v>
      </c>
      <c r="E70" s="10" t="n">
        <f aca="false">E65</f>
        <v>325091.575151598</v>
      </c>
      <c r="F70" s="10" t="n">
        <f aca="false">F65</f>
        <v>383635.371695598</v>
      </c>
      <c r="G70" s="10" t="n">
        <f aca="false">G65</f>
        <v>444740.747237359</v>
      </c>
      <c r="H70" s="10" t="n">
        <f aca="false">H65</f>
        <v>508515.773451668</v>
      </c>
      <c r="I70" s="10" t="n">
        <f aca="false">I65</f>
        <v>575072.993409774</v>
      </c>
      <c r="J70" s="10" t="n">
        <f aca="false">J65</f>
        <v>644529.604496595</v>
      </c>
      <c r="K70" s="10" t="n">
        <f aca="false">K65</f>
        <v>717007.64875859</v>
      </c>
      <c r="L70" s="10" t="n">
        <f aca="false">L65+((L64*(1+$B$62)/$Q$70)*(1-CashFlow!$B$5)-Debt!L21)</f>
        <v>13687234.5756889</v>
      </c>
      <c r="P70" s="53" t="n">
        <f aca="false">IRR(B70:L70)</f>
        <v>0.119786613844424</v>
      </c>
      <c r="Q70" s="50" t="n">
        <v>0.0725</v>
      </c>
    </row>
    <row r="71" customFormat="false" ht="15" hidden="true" customHeight="true" outlineLevel="1" collapsed="false"/>
    <row r="72" customFormat="false" ht="18" hidden="true" customHeight="true" outlineLevel="1" collapsed="false">
      <c r="A72" s="3" t="s">
        <v>147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customFormat="false" ht="15" hidden="true" customHeight="true" outlineLevel="1" collapsed="false"/>
    <row r="74" customFormat="false" ht="15" hidden="true" customHeight="true" outlineLevel="1" collapsed="false">
      <c r="A74" s="49" t="s">
        <v>148</v>
      </c>
      <c r="B74" s="54" t="n">
        <v>18750000</v>
      </c>
    </row>
    <row r="75" customFormat="false" ht="15" hidden="true" customHeight="true" outlineLevel="1" collapsed="false">
      <c r="A75" s="51" t="s">
        <v>149</v>
      </c>
      <c r="B75" s="10" t="n">
        <f aca="false">$B$74*Debt!$B$6</f>
        <v>12626582.278481</v>
      </c>
    </row>
    <row r="76" customFormat="false" ht="15" hidden="true" customHeight="true" outlineLevel="1" collapsed="false">
      <c r="A76" s="51" t="s">
        <v>150</v>
      </c>
      <c r="B76" s="10" t="n">
        <f aca="false">$B$74+$B$74*Summary!$C$11+$B$75*Summary!$C$13-$B$75</f>
        <v>6530933.5443038</v>
      </c>
    </row>
    <row r="77" customFormat="false" ht="15" hidden="true" customHeight="true" outlineLevel="1" collapsed="false">
      <c r="A77" s="51" t="s">
        <v>151</v>
      </c>
      <c r="B77" s="23" t="n">
        <f aca="false">-PMT(Debt!$B$8,Debt!$B$11,$B$75)</f>
        <v>72327.3938645888</v>
      </c>
    </row>
    <row r="78" customFormat="false" ht="15" hidden="true" customHeight="true" outlineLevel="1" collapsed="false">
      <c r="A78" s="51" t="s">
        <v>152</v>
      </c>
      <c r="B78" s="10" t="n">
        <f aca="false">$B$75+CUMPRINC(Debt!$B$8,Debt!$B$11,$B$75,1,96,0)</f>
        <v>10983968.0404763</v>
      </c>
    </row>
    <row r="79" customFormat="false" ht="15" hidden="true" customHeight="true" outlineLevel="1" collapsed="false">
      <c r="A79" s="51" t="s">
        <v>153</v>
      </c>
      <c r="C79" s="10" t="n">
        <f aca="false">IF(1&lt;=Debt!$B$9,$B$75*Debt!$B$7,12*$B$77)</f>
        <v>704563.291139241</v>
      </c>
      <c r="D79" s="10" t="n">
        <f aca="false">IF(2&lt;=Debt!$B$9,$B$75*Debt!$B$7,12*$B$77)</f>
        <v>704563.291139241</v>
      </c>
      <c r="E79" s="10" t="n">
        <f aca="false">IF(3&lt;=Debt!$B$9,$B$75*Debt!$B$7,12*$B$77)</f>
        <v>867928.726375065</v>
      </c>
      <c r="F79" s="10" t="n">
        <f aca="false">IF(4&lt;=Debt!$B$9,$B$75*Debt!$B$7,12*$B$77)</f>
        <v>867928.726375065</v>
      </c>
      <c r="G79" s="10" t="n">
        <f aca="false">IF(5&lt;=Debt!$B$9,$B$75*Debt!$B$7,12*$B$77)</f>
        <v>867928.726375065</v>
      </c>
      <c r="H79" s="10" t="n">
        <f aca="false">IF(6&lt;=Debt!$B$9,$B$75*Debt!$B$7,12*$B$77)</f>
        <v>867928.726375065</v>
      </c>
      <c r="I79" s="10" t="n">
        <f aca="false">IF(7&lt;=Debt!$B$9,$B$75*Debt!$B$7,12*$B$77)</f>
        <v>867928.726375065</v>
      </c>
      <c r="J79" s="10" t="n">
        <f aca="false">IF(8&lt;=Debt!$B$9,$B$75*Debt!$B$7,12*$B$77)</f>
        <v>867928.726375065</v>
      </c>
      <c r="K79" s="10" t="n">
        <f aca="false">IF(9&lt;=Debt!$B$9,$B$75*Debt!$B$7,12*$B$77)</f>
        <v>867928.726375065</v>
      </c>
      <c r="L79" s="10" t="n">
        <f aca="false">IF(10&lt;=Debt!$B$9,$B$75*Debt!$B$7,12*$B$77)</f>
        <v>867928.726375065</v>
      </c>
    </row>
    <row r="80" customFormat="false" ht="15" hidden="true" customHeight="true" outlineLevel="1" collapsed="false">
      <c r="A80" s="51" t="s">
        <v>137</v>
      </c>
      <c r="C80" s="10" t="n">
        <f aca="false">Operations!C42-Operations!C43-C79</f>
        <v>424932.708860759</v>
      </c>
      <c r="D80" s="10" t="n">
        <f aca="false">Operations!D42-Operations!D43-D79</f>
        <v>461187.588860759</v>
      </c>
      <c r="E80" s="10" t="n">
        <f aca="false">Operations!E42-Operations!E43-E79</f>
        <v>335212.080024935</v>
      </c>
      <c r="F80" s="10" t="n">
        <f aca="false">Operations!F42-Operations!F43-F79</f>
        <v>373772.052216935</v>
      </c>
      <c r="G80" s="10" t="n">
        <f aca="false">Operations!G42-Operations!G43-G79</f>
        <v>413538.138534695</v>
      </c>
      <c r="H80" s="10" t="n">
        <f aca="false">Operations!H42-Operations!H43-H79</f>
        <v>454547.508701188</v>
      </c>
      <c r="I80" s="10" t="n">
        <f aca="false">Operations!I42-Operations!I43-I79</f>
        <v>496838.467257059</v>
      </c>
      <c r="J80" s="10" t="n">
        <f aca="false">Operations!J42-Operations!J43-J79</f>
        <v>540450.487999679</v>
      </c>
      <c r="K80" s="10" t="n">
        <f aca="false">Operations!K42-Operations!K43-K79</f>
        <v>585424.24946325</v>
      </c>
      <c r="L80" s="10" t="n">
        <f aca="false">Operations!L42-Operations!L43-L79</f>
        <v>631801.671471375</v>
      </c>
    </row>
    <row r="81" customFormat="false" ht="15" hidden="true" customHeight="true" outlineLevel="1" collapsed="false">
      <c r="A81" s="52" t="s">
        <v>138</v>
      </c>
      <c r="B81" s="10" t="n">
        <f aca="false">-$B$76</f>
        <v>-6530933.5443038</v>
      </c>
      <c r="C81" s="10" t="n">
        <f aca="false">C80</f>
        <v>424932.708860759</v>
      </c>
      <c r="D81" s="10" t="n">
        <f aca="false">D80</f>
        <v>461187.588860759</v>
      </c>
      <c r="E81" s="10" t="n">
        <f aca="false">E80</f>
        <v>335212.080024935</v>
      </c>
      <c r="F81" s="10" t="n">
        <f aca="false">F80</f>
        <v>373772.052216935</v>
      </c>
      <c r="G81" s="10" t="n">
        <f aca="false">G80</f>
        <v>413538.138534695</v>
      </c>
      <c r="H81" s="10" t="n">
        <f aca="false">H80</f>
        <v>454547.508701188</v>
      </c>
      <c r="I81" s="10" t="n">
        <f aca="false">I80</f>
        <v>496838.467257059</v>
      </c>
      <c r="J81" s="10" t="n">
        <f aca="false">J80</f>
        <v>540450.487999679</v>
      </c>
      <c r="K81" s="10" t="n">
        <f aca="false">K80</f>
        <v>585424.24946325</v>
      </c>
      <c r="L81" s="10" t="n">
        <f aca="false">L80+((Operations!L42*(1+Operations!$B$11)/$Q$81)*(1-CashFlow!$B$5)-$B$78)</f>
        <v>14408538.234374</v>
      </c>
      <c r="P81" s="53" t="n">
        <f aca="false">IRR(B81:L81)</f>
        <v>0.129239489958782</v>
      </c>
      <c r="Q81" s="50" t="n">
        <v>0.0625</v>
      </c>
    </row>
    <row r="82" customFormat="false" ht="15" hidden="true" customHeight="true" outlineLevel="1" collapsed="false">
      <c r="A82" s="52" t="s">
        <v>139</v>
      </c>
      <c r="B82" s="10" t="n">
        <f aca="false">-$B$76</f>
        <v>-6530933.5443038</v>
      </c>
      <c r="C82" s="10" t="n">
        <f aca="false">C80</f>
        <v>424932.708860759</v>
      </c>
      <c r="D82" s="10" t="n">
        <f aca="false">D80</f>
        <v>461187.588860759</v>
      </c>
      <c r="E82" s="10" t="n">
        <f aca="false">E80</f>
        <v>335212.080024935</v>
      </c>
      <c r="F82" s="10" t="n">
        <f aca="false">F80</f>
        <v>373772.052216935</v>
      </c>
      <c r="G82" s="10" t="n">
        <f aca="false">G80</f>
        <v>413538.138534695</v>
      </c>
      <c r="H82" s="10" t="n">
        <f aca="false">H80</f>
        <v>454547.508701188</v>
      </c>
      <c r="I82" s="10" t="n">
        <f aca="false">I80</f>
        <v>496838.467257059</v>
      </c>
      <c r="J82" s="10" t="n">
        <f aca="false">J80</f>
        <v>540450.487999679</v>
      </c>
      <c r="K82" s="10" t="n">
        <f aca="false">K80</f>
        <v>585424.24946325</v>
      </c>
      <c r="L82" s="10" t="n">
        <f aca="false">L80+((Operations!L42*(1+Operations!$B$11)/$Q$82)*(1-CashFlow!$B$5)-$B$78)</f>
        <v>13456203.4419363</v>
      </c>
      <c r="P82" s="53" t="n">
        <f aca="false">IRR(B82:L82)</f>
        <v>0.123032227185297</v>
      </c>
      <c r="Q82" s="50" t="n">
        <v>0.065</v>
      </c>
    </row>
    <row r="83" customFormat="false" ht="15" hidden="true" customHeight="true" outlineLevel="1" collapsed="false">
      <c r="A83" s="52" t="s">
        <v>140</v>
      </c>
      <c r="B83" s="10" t="n">
        <f aca="false">-$B$76</f>
        <v>-6530933.5443038</v>
      </c>
      <c r="C83" s="10" t="n">
        <f aca="false">C80</f>
        <v>424932.708860759</v>
      </c>
      <c r="D83" s="10" t="n">
        <f aca="false">D80</f>
        <v>461187.588860759</v>
      </c>
      <c r="E83" s="10" t="n">
        <f aca="false">E80</f>
        <v>335212.080024935</v>
      </c>
      <c r="F83" s="10" t="n">
        <f aca="false">F80</f>
        <v>373772.052216935</v>
      </c>
      <c r="G83" s="10" t="n">
        <f aca="false">G80</f>
        <v>413538.138534695</v>
      </c>
      <c r="H83" s="10" t="n">
        <f aca="false">H80</f>
        <v>454547.508701188</v>
      </c>
      <c r="I83" s="10" t="n">
        <f aca="false">I80</f>
        <v>496838.467257059</v>
      </c>
      <c r="J83" s="10" t="n">
        <f aca="false">J80</f>
        <v>540450.487999679</v>
      </c>
      <c r="K83" s="10" t="n">
        <f aca="false">K80</f>
        <v>585424.24946325</v>
      </c>
      <c r="L83" s="10" t="n">
        <f aca="false">L80+((Operations!L42*(1+Operations!$B$11)/$Q$83)*(1-CashFlow!$B$5)-$B$78)</f>
        <v>12574411.967457</v>
      </c>
      <c r="P83" s="53" t="n">
        <f aca="false">IRR(B83:L83)</f>
        <v>0.116969326387185</v>
      </c>
      <c r="Q83" s="50" t="n">
        <v>0.0675</v>
      </c>
    </row>
    <row r="84" customFormat="false" ht="15" hidden="true" customHeight="true" outlineLevel="1" collapsed="false">
      <c r="A84" s="52" t="s">
        <v>141</v>
      </c>
      <c r="B84" s="10" t="n">
        <f aca="false">-$B$76</f>
        <v>-6530933.5443038</v>
      </c>
      <c r="C84" s="10" t="n">
        <f aca="false">C80</f>
        <v>424932.708860759</v>
      </c>
      <c r="D84" s="10" t="n">
        <f aca="false">D80</f>
        <v>461187.588860759</v>
      </c>
      <c r="E84" s="10" t="n">
        <f aca="false">E80</f>
        <v>335212.080024935</v>
      </c>
      <c r="F84" s="10" t="n">
        <f aca="false">F80</f>
        <v>373772.052216935</v>
      </c>
      <c r="G84" s="10" t="n">
        <f aca="false">G80</f>
        <v>413538.138534695</v>
      </c>
      <c r="H84" s="10" t="n">
        <f aca="false">H80</f>
        <v>454547.508701188</v>
      </c>
      <c r="I84" s="10" t="n">
        <f aca="false">I80</f>
        <v>496838.467257059</v>
      </c>
      <c r="J84" s="10" t="n">
        <f aca="false">J80</f>
        <v>540450.487999679</v>
      </c>
      <c r="K84" s="10" t="n">
        <f aca="false">K80</f>
        <v>585424.24946325</v>
      </c>
      <c r="L84" s="10" t="n">
        <f aca="false">L80+((Operations!L42*(1+Operations!$B$11)/$Q$84)*(1-CashFlow!$B$5)-$B$78)</f>
        <v>11755605.5982977</v>
      </c>
      <c r="P84" s="53" t="n">
        <f aca="false">IRR(B84:L84)</f>
        <v>0.111035142168203</v>
      </c>
      <c r="Q84" s="50" t="n">
        <v>0.07</v>
      </c>
    </row>
    <row r="85" customFormat="false" ht="15" hidden="true" customHeight="true" outlineLevel="1" collapsed="false">
      <c r="A85" s="52" t="s">
        <v>142</v>
      </c>
      <c r="B85" s="10" t="n">
        <f aca="false">-$B$76</f>
        <v>-6530933.5443038</v>
      </c>
      <c r="C85" s="10" t="n">
        <f aca="false">C80</f>
        <v>424932.708860759</v>
      </c>
      <c r="D85" s="10" t="n">
        <f aca="false">D80</f>
        <v>461187.588860759</v>
      </c>
      <c r="E85" s="10" t="n">
        <f aca="false">E80</f>
        <v>335212.080024935</v>
      </c>
      <c r="F85" s="10" t="n">
        <f aca="false">F80</f>
        <v>373772.052216935</v>
      </c>
      <c r="G85" s="10" t="n">
        <f aca="false">G80</f>
        <v>413538.138534695</v>
      </c>
      <c r="H85" s="10" t="n">
        <f aca="false">H80</f>
        <v>454547.508701188</v>
      </c>
      <c r="I85" s="10" t="n">
        <f aca="false">I80</f>
        <v>496838.467257059</v>
      </c>
      <c r="J85" s="10" t="n">
        <f aca="false">J80</f>
        <v>540450.487999679</v>
      </c>
      <c r="K85" s="10" t="n">
        <f aca="false">K80</f>
        <v>585424.24946325</v>
      </c>
      <c r="L85" s="10" t="n">
        <f aca="false">L80+((Operations!L42*(1+Operations!$B$11)/$Q$85)*(1-CashFlow!$B$5)-$B$78)</f>
        <v>10993268.6339079</v>
      </c>
      <c r="P85" s="53" t="n">
        <f aca="false">IRR(B85:L85)</f>
        <v>0.10521540882438</v>
      </c>
      <c r="Q85" s="50" t="n">
        <v>0.0725</v>
      </c>
    </row>
    <row r="86" customFormat="false" ht="15" hidden="true" customHeight="true" outlineLevel="1" collapsed="false"/>
    <row r="87" customFormat="false" ht="15" hidden="true" customHeight="true" outlineLevel="1" collapsed="false">
      <c r="A87" s="49" t="s">
        <v>154</v>
      </c>
      <c r="B87" s="54" t="n">
        <v>19250000</v>
      </c>
    </row>
    <row r="88" customFormat="false" ht="15" hidden="true" customHeight="true" outlineLevel="1" collapsed="false">
      <c r="A88" s="51" t="s">
        <v>149</v>
      </c>
      <c r="B88" s="10" t="n">
        <f aca="false">$B$87*Debt!$B$6</f>
        <v>12963291.1392405</v>
      </c>
    </row>
    <row r="89" customFormat="false" ht="15" hidden="true" customHeight="true" outlineLevel="1" collapsed="false">
      <c r="A89" s="51" t="s">
        <v>150</v>
      </c>
      <c r="B89" s="10" t="n">
        <f aca="false">$B$87+$B$87*Summary!$C$11+$B$88*Summary!$C$13-$B$88</f>
        <v>6705091.7721519</v>
      </c>
    </row>
    <row r="90" customFormat="false" ht="15" hidden="true" customHeight="true" outlineLevel="1" collapsed="false">
      <c r="A90" s="51" t="s">
        <v>151</v>
      </c>
      <c r="B90" s="23" t="n">
        <f aca="false">-PMT(Debt!$B$8,Debt!$B$11,$B$88)</f>
        <v>74256.1243676445</v>
      </c>
    </row>
    <row r="91" customFormat="false" ht="15" hidden="true" customHeight="true" outlineLevel="1" collapsed="false">
      <c r="A91" s="51" t="s">
        <v>152</v>
      </c>
      <c r="B91" s="10" t="n">
        <f aca="false">$B$88+CUMPRINC(Debt!$B$8,Debt!$B$11,$B$88,1,96,0)</f>
        <v>11276873.854889</v>
      </c>
    </row>
    <row r="92" customFormat="false" ht="15" hidden="true" customHeight="true" outlineLevel="1" collapsed="false">
      <c r="A92" s="51" t="s">
        <v>153</v>
      </c>
      <c r="C92" s="10" t="n">
        <f aca="false">IF(1&lt;=Debt!$B$9,$B$88*Debt!$B$7,12*$B$90)</f>
        <v>723351.64556962</v>
      </c>
      <c r="D92" s="10" t="n">
        <f aca="false">IF(2&lt;=Debt!$B$9,$B$88*Debt!$B$7,12*$B$90)</f>
        <v>723351.64556962</v>
      </c>
      <c r="E92" s="10" t="n">
        <f aca="false">IF(3&lt;=Debt!$B$9,$B$88*Debt!$B$7,12*$B$90)</f>
        <v>891073.492411734</v>
      </c>
      <c r="F92" s="10" t="n">
        <f aca="false">IF(4&lt;=Debt!$B$9,$B$88*Debt!$B$7,12*$B$90)</f>
        <v>891073.492411734</v>
      </c>
      <c r="G92" s="10" t="n">
        <f aca="false">IF(5&lt;=Debt!$B$9,$B$88*Debt!$B$7,12*$B$90)</f>
        <v>891073.492411734</v>
      </c>
      <c r="H92" s="10" t="n">
        <f aca="false">IF(6&lt;=Debt!$B$9,$B$88*Debt!$B$7,12*$B$90)</f>
        <v>891073.492411734</v>
      </c>
      <c r="I92" s="10" t="n">
        <f aca="false">IF(7&lt;=Debt!$B$9,$B$88*Debt!$B$7,12*$B$90)</f>
        <v>891073.492411734</v>
      </c>
      <c r="J92" s="10" t="n">
        <f aca="false">IF(8&lt;=Debt!$B$9,$B$88*Debt!$B$7,12*$B$90)</f>
        <v>891073.492411734</v>
      </c>
      <c r="K92" s="10" t="n">
        <f aca="false">IF(9&lt;=Debt!$B$9,$B$88*Debt!$B$7,12*$B$90)</f>
        <v>891073.492411734</v>
      </c>
      <c r="L92" s="10" t="n">
        <f aca="false">IF(10&lt;=Debt!$B$9,$B$88*Debt!$B$7,12*$B$90)</f>
        <v>891073.492411734</v>
      </c>
    </row>
    <row r="93" customFormat="false" ht="15" hidden="true" customHeight="true" outlineLevel="1" collapsed="false">
      <c r="A93" s="51" t="s">
        <v>137</v>
      </c>
      <c r="C93" s="10" t="n">
        <f aca="false">Operations!C42-Operations!C43-C92</f>
        <v>406144.35443038</v>
      </c>
      <c r="D93" s="10" t="n">
        <f aca="false">Operations!D42-Operations!D43-D92</f>
        <v>442399.23443038</v>
      </c>
      <c r="E93" s="10" t="n">
        <f aca="false">Operations!E42-Operations!E43-E92</f>
        <v>312067.313988267</v>
      </c>
      <c r="F93" s="10" t="n">
        <f aca="false">Operations!F42-Operations!F43-F92</f>
        <v>350627.286180266</v>
      </c>
      <c r="G93" s="10" t="n">
        <f aca="false">Operations!G42-Operations!G43-G92</f>
        <v>390393.372498027</v>
      </c>
      <c r="H93" s="10" t="n">
        <f aca="false">Operations!H42-Operations!H43-H92</f>
        <v>431402.742664519</v>
      </c>
      <c r="I93" s="10" t="n">
        <f aca="false">Operations!I42-Operations!I43-I92</f>
        <v>473693.701220391</v>
      </c>
      <c r="J93" s="10" t="n">
        <f aca="false">Operations!J42-Operations!J43-J92</f>
        <v>517305.721963011</v>
      </c>
      <c r="K93" s="10" t="n">
        <f aca="false">Operations!K42-Operations!K43-K92</f>
        <v>562279.483426582</v>
      </c>
      <c r="L93" s="10" t="n">
        <f aca="false">Operations!L42-Operations!L43-L92</f>
        <v>608656.905434707</v>
      </c>
    </row>
    <row r="94" customFormat="false" ht="15" hidden="true" customHeight="true" outlineLevel="1" collapsed="false">
      <c r="A94" s="52" t="s">
        <v>138</v>
      </c>
      <c r="B94" s="10" t="n">
        <f aca="false">-$B$89</f>
        <v>-6705091.7721519</v>
      </c>
      <c r="C94" s="10" t="n">
        <f aca="false">C93</f>
        <v>406144.35443038</v>
      </c>
      <c r="D94" s="10" t="n">
        <f aca="false">D93</f>
        <v>442399.23443038</v>
      </c>
      <c r="E94" s="10" t="n">
        <f aca="false">E93</f>
        <v>312067.313988267</v>
      </c>
      <c r="F94" s="10" t="n">
        <f aca="false">F93</f>
        <v>350627.286180266</v>
      </c>
      <c r="G94" s="10" t="n">
        <f aca="false">G93</f>
        <v>390393.372498027</v>
      </c>
      <c r="H94" s="10" t="n">
        <f aca="false">H93</f>
        <v>431402.742664519</v>
      </c>
      <c r="I94" s="10" t="n">
        <f aca="false">I93</f>
        <v>473693.701220391</v>
      </c>
      <c r="J94" s="10" t="n">
        <f aca="false">J93</f>
        <v>517305.721963011</v>
      </c>
      <c r="K94" s="10" t="n">
        <f aca="false">K93</f>
        <v>562279.483426582</v>
      </c>
      <c r="L94" s="10" t="n">
        <f aca="false">L93+((Operations!L42*(1+Operations!$B$11)/$Q$94)*(1-CashFlow!$B$5)-$B$91)</f>
        <v>14092487.6539246</v>
      </c>
      <c r="P94" s="53" t="n">
        <f aca="false">IRR(B94:L94)</f>
        <v>0.121191345936334</v>
      </c>
      <c r="Q94" s="50" t="n">
        <v>0.0625</v>
      </c>
    </row>
    <row r="95" customFormat="false" ht="15" hidden="true" customHeight="true" outlineLevel="1" collapsed="false">
      <c r="A95" s="52" t="s">
        <v>139</v>
      </c>
      <c r="B95" s="10" t="n">
        <f aca="false">-$B$89</f>
        <v>-6705091.7721519</v>
      </c>
      <c r="C95" s="10" t="n">
        <f aca="false">C93</f>
        <v>406144.35443038</v>
      </c>
      <c r="D95" s="10" t="n">
        <f aca="false">D93</f>
        <v>442399.23443038</v>
      </c>
      <c r="E95" s="10" t="n">
        <f aca="false">E93</f>
        <v>312067.313988267</v>
      </c>
      <c r="F95" s="10" t="n">
        <f aca="false">F93</f>
        <v>350627.286180266</v>
      </c>
      <c r="G95" s="10" t="n">
        <f aca="false">G93</f>
        <v>390393.372498027</v>
      </c>
      <c r="H95" s="10" t="n">
        <f aca="false">H93</f>
        <v>431402.742664519</v>
      </c>
      <c r="I95" s="10" t="n">
        <f aca="false">I93</f>
        <v>473693.701220391</v>
      </c>
      <c r="J95" s="10" t="n">
        <f aca="false">J93</f>
        <v>517305.721963011</v>
      </c>
      <c r="K95" s="10" t="n">
        <f aca="false">K93</f>
        <v>562279.483426582</v>
      </c>
      <c r="L95" s="10" t="n">
        <f aca="false">L93+((Operations!L42*(1+Operations!$B$11)/$Q$95)*(1-CashFlow!$B$5)-$B$91)</f>
        <v>13140152.8614869</v>
      </c>
      <c r="P95" s="53" t="n">
        <f aca="false">IRR(B95:L95)</f>
        <v>0.114819013251582</v>
      </c>
      <c r="Q95" s="50" t="n">
        <v>0.065</v>
      </c>
    </row>
    <row r="96" customFormat="false" ht="15" hidden="true" customHeight="true" outlineLevel="1" collapsed="false">
      <c r="A96" s="52" t="s">
        <v>140</v>
      </c>
      <c r="B96" s="10" t="n">
        <f aca="false">-$B$89</f>
        <v>-6705091.7721519</v>
      </c>
      <c r="C96" s="10" t="n">
        <f aca="false">C93</f>
        <v>406144.35443038</v>
      </c>
      <c r="D96" s="10" t="n">
        <f aca="false">D93</f>
        <v>442399.23443038</v>
      </c>
      <c r="E96" s="10" t="n">
        <f aca="false">E93</f>
        <v>312067.313988267</v>
      </c>
      <c r="F96" s="10" t="n">
        <f aca="false">F93</f>
        <v>350627.286180266</v>
      </c>
      <c r="G96" s="10" t="n">
        <f aca="false">G93</f>
        <v>390393.372498027</v>
      </c>
      <c r="H96" s="10" t="n">
        <f aca="false">H93</f>
        <v>431402.742664519</v>
      </c>
      <c r="I96" s="10" t="n">
        <f aca="false">I93</f>
        <v>473693.701220391</v>
      </c>
      <c r="J96" s="10" t="n">
        <f aca="false">J93</f>
        <v>517305.721963011</v>
      </c>
      <c r="K96" s="10" t="n">
        <f aca="false">K93</f>
        <v>562279.483426582</v>
      </c>
      <c r="L96" s="10" t="n">
        <f aca="false">L93+((Operations!L42*(1+Operations!$B$11)/$Q$96)*(1-CashFlow!$B$5)-$B$91)</f>
        <v>12258361.3870076</v>
      </c>
      <c r="P96" s="53" t="n">
        <f aca="false">IRR(B96:L96)</f>
        <v>0.108584780194954</v>
      </c>
      <c r="Q96" s="50" t="n">
        <v>0.0675</v>
      </c>
    </row>
    <row r="97" customFormat="false" ht="15" hidden="true" customHeight="true" outlineLevel="1" collapsed="false">
      <c r="A97" s="52" t="s">
        <v>141</v>
      </c>
      <c r="B97" s="10" t="n">
        <f aca="false">-$B$89</f>
        <v>-6705091.7721519</v>
      </c>
      <c r="C97" s="10" t="n">
        <f aca="false">C93</f>
        <v>406144.35443038</v>
      </c>
      <c r="D97" s="10" t="n">
        <f aca="false">D93</f>
        <v>442399.23443038</v>
      </c>
      <c r="E97" s="10" t="n">
        <f aca="false">E93</f>
        <v>312067.313988267</v>
      </c>
      <c r="F97" s="10" t="n">
        <f aca="false">F93</f>
        <v>350627.286180266</v>
      </c>
      <c r="G97" s="10" t="n">
        <f aca="false">G93</f>
        <v>390393.372498027</v>
      </c>
      <c r="H97" s="10" t="n">
        <f aca="false">H93</f>
        <v>431402.742664519</v>
      </c>
      <c r="I97" s="10" t="n">
        <f aca="false">I93</f>
        <v>473693.701220391</v>
      </c>
      <c r="J97" s="10" t="n">
        <f aca="false">J93</f>
        <v>517305.721963011</v>
      </c>
      <c r="K97" s="10" t="n">
        <f aca="false">K93</f>
        <v>562279.483426582</v>
      </c>
      <c r="L97" s="10" t="n">
        <f aca="false">L93+((Operations!L42*(1+Operations!$B$11)/$Q$97)*(1-CashFlow!$B$5)-$B$91)</f>
        <v>11439555.0178483</v>
      </c>
      <c r="P97" s="53" t="n">
        <f aca="false">IRR(B97:L97)</f>
        <v>0.102472541510463</v>
      </c>
      <c r="Q97" s="50" t="n">
        <v>0.07</v>
      </c>
    </row>
    <row r="98" customFormat="false" ht="15" hidden="true" customHeight="true" outlineLevel="1" collapsed="false">
      <c r="A98" s="52" t="s">
        <v>142</v>
      </c>
      <c r="B98" s="10" t="n">
        <f aca="false">-$B$89</f>
        <v>-6705091.7721519</v>
      </c>
      <c r="C98" s="10" t="n">
        <f aca="false">C93</f>
        <v>406144.35443038</v>
      </c>
      <c r="D98" s="10" t="n">
        <f aca="false">D93</f>
        <v>442399.23443038</v>
      </c>
      <c r="E98" s="10" t="n">
        <f aca="false">E93</f>
        <v>312067.313988267</v>
      </c>
      <c r="F98" s="10" t="n">
        <f aca="false">F93</f>
        <v>350627.286180266</v>
      </c>
      <c r="G98" s="10" t="n">
        <f aca="false">G93</f>
        <v>390393.372498027</v>
      </c>
      <c r="H98" s="10" t="n">
        <f aca="false">H93</f>
        <v>431402.742664519</v>
      </c>
      <c r="I98" s="10" t="n">
        <f aca="false">I93</f>
        <v>473693.701220391</v>
      </c>
      <c r="J98" s="10" t="n">
        <f aca="false">J93</f>
        <v>517305.721963011</v>
      </c>
      <c r="K98" s="10" t="n">
        <f aca="false">K93</f>
        <v>562279.483426582</v>
      </c>
      <c r="L98" s="10" t="n">
        <f aca="false">L93+((Operations!L42*(1+Operations!$B$11)/$Q$98)*(1-CashFlow!$B$5)-$B$91)</f>
        <v>10677218.0534585</v>
      </c>
      <c r="P98" s="53" t="n">
        <f aca="false">IRR(B98:L98)</f>
        <v>0.0964675253473755</v>
      </c>
      <c r="Q98" s="50" t="n">
        <v>0.0725</v>
      </c>
    </row>
    <row r="99" customFormat="false" ht="15" hidden="true" customHeight="true" outlineLevel="1" collapsed="false"/>
    <row r="100" customFormat="false" ht="15" hidden="true" customHeight="true" outlineLevel="1" collapsed="false">
      <c r="A100" s="49" t="s">
        <v>155</v>
      </c>
      <c r="B100" s="54" t="n">
        <v>19750000</v>
      </c>
    </row>
    <row r="101" customFormat="false" ht="15" hidden="true" customHeight="true" outlineLevel="1" collapsed="false">
      <c r="A101" s="51" t="s">
        <v>149</v>
      </c>
      <c r="B101" s="10" t="n">
        <f aca="false">$B$100*Debt!$B$6</f>
        <v>13300000</v>
      </c>
    </row>
    <row r="102" customFormat="false" ht="15" hidden="true" customHeight="true" outlineLevel="1" collapsed="false">
      <c r="A102" s="51" t="s">
        <v>150</v>
      </c>
      <c r="B102" s="10" t="n">
        <f aca="false">$B$100+$B$100*Summary!$C$11+$B$101*Summary!$C$13-$B$101</f>
        <v>6879250</v>
      </c>
    </row>
    <row r="103" customFormat="false" ht="15" hidden="true" customHeight="true" outlineLevel="1" collapsed="false">
      <c r="A103" s="51" t="s">
        <v>151</v>
      </c>
      <c r="B103" s="23" t="n">
        <f aca="false">-PMT(Debt!$B$8,Debt!$B$11,$B$101)</f>
        <v>76184.8548707002</v>
      </c>
    </row>
    <row r="104" customFormat="false" ht="15" hidden="true" customHeight="true" outlineLevel="1" collapsed="false">
      <c r="A104" s="51" t="s">
        <v>152</v>
      </c>
      <c r="B104" s="10" t="n">
        <f aca="false">$B$101+CUMPRINC(Debt!$B$8,Debt!$B$11,$B$101,1,96,0)</f>
        <v>11569779.6693017</v>
      </c>
    </row>
    <row r="105" customFormat="false" ht="15" hidden="true" customHeight="true" outlineLevel="1" collapsed="false">
      <c r="A105" s="51" t="s">
        <v>153</v>
      </c>
      <c r="C105" s="10" t="n">
        <f aca="false">IF(1&lt;=Debt!$B$9,$B$101*Debt!$B$7,12*$B$103)</f>
        <v>742140</v>
      </c>
      <c r="D105" s="10" t="n">
        <f aca="false">IF(2&lt;=Debt!$B$9,$B$101*Debt!$B$7,12*$B$103)</f>
        <v>742140</v>
      </c>
      <c r="E105" s="10" t="n">
        <f aca="false">IF(3&lt;=Debt!$B$9,$B$101*Debt!$B$7,12*$B$103)</f>
        <v>914218.258448402</v>
      </c>
      <c r="F105" s="10" t="n">
        <f aca="false">IF(4&lt;=Debt!$B$9,$B$101*Debt!$B$7,12*$B$103)</f>
        <v>914218.258448402</v>
      </c>
      <c r="G105" s="10" t="n">
        <f aca="false">IF(5&lt;=Debt!$B$9,$B$101*Debt!$B$7,12*$B$103)</f>
        <v>914218.258448402</v>
      </c>
      <c r="H105" s="10" t="n">
        <f aca="false">IF(6&lt;=Debt!$B$9,$B$101*Debt!$B$7,12*$B$103)</f>
        <v>914218.258448402</v>
      </c>
      <c r="I105" s="10" t="n">
        <f aca="false">IF(7&lt;=Debt!$B$9,$B$101*Debt!$B$7,12*$B$103)</f>
        <v>914218.258448402</v>
      </c>
      <c r="J105" s="10" t="n">
        <f aca="false">IF(8&lt;=Debt!$B$9,$B$101*Debt!$B$7,12*$B$103)</f>
        <v>914218.258448402</v>
      </c>
      <c r="K105" s="10" t="n">
        <f aca="false">IF(9&lt;=Debt!$B$9,$B$101*Debt!$B$7,12*$B$103)</f>
        <v>914218.258448402</v>
      </c>
      <c r="L105" s="10" t="n">
        <f aca="false">IF(10&lt;=Debt!$B$9,$B$101*Debt!$B$7,12*$B$103)</f>
        <v>914218.258448402</v>
      </c>
    </row>
    <row r="106" customFormat="false" ht="15" hidden="true" customHeight="true" outlineLevel="1" collapsed="false">
      <c r="A106" s="51" t="s">
        <v>137</v>
      </c>
      <c r="C106" s="10" t="n">
        <f aca="false">Operations!C42-Operations!C43-C105</f>
        <v>387356</v>
      </c>
      <c r="D106" s="10" t="n">
        <f aca="false">Operations!D42-Operations!D43-D105</f>
        <v>423610.88</v>
      </c>
      <c r="E106" s="10" t="n">
        <f aca="false">Operations!E42-Operations!E43-E105</f>
        <v>288922.547951598</v>
      </c>
      <c r="F106" s="10" t="n">
        <f aca="false">Operations!F42-Operations!F43-F105</f>
        <v>327482.520143598</v>
      </c>
      <c r="G106" s="10" t="n">
        <f aca="false">Operations!G42-Operations!G43-G105</f>
        <v>367248.606461358</v>
      </c>
      <c r="H106" s="10" t="n">
        <f aca="false">Operations!H42-Operations!H43-H105</f>
        <v>408257.976627851</v>
      </c>
      <c r="I106" s="10" t="n">
        <f aca="false">Operations!I42-Operations!I43-I105</f>
        <v>450548.935183723</v>
      </c>
      <c r="J106" s="10" t="n">
        <f aca="false">Operations!J42-Operations!J43-J105</f>
        <v>494160.955926342</v>
      </c>
      <c r="K106" s="10" t="n">
        <f aca="false">Operations!K42-Operations!K43-K105</f>
        <v>539134.717389914</v>
      </c>
      <c r="L106" s="10" t="n">
        <f aca="false">Operations!L42-Operations!L43-L105</f>
        <v>585512.139398038</v>
      </c>
    </row>
    <row r="107" customFormat="false" ht="15" hidden="true" customHeight="true" outlineLevel="1" collapsed="false">
      <c r="A107" s="52" t="s">
        <v>138</v>
      </c>
      <c r="B107" s="10" t="n">
        <f aca="false">-$B$102</f>
        <v>-6879250</v>
      </c>
      <c r="C107" s="10" t="n">
        <f aca="false">C106</f>
        <v>387356</v>
      </c>
      <c r="D107" s="10" t="n">
        <f aca="false">D106</f>
        <v>423610.88</v>
      </c>
      <c r="E107" s="10" t="n">
        <f aca="false">E106</f>
        <v>288922.547951598</v>
      </c>
      <c r="F107" s="10" t="n">
        <f aca="false">F106</f>
        <v>327482.520143598</v>
      </c>
      <c r="G107" s="10" t="n">
        <f aca="false">G106</f>
        <v>367248.606461358</v>
      </c>
      <c r="H107" s="10" t="n">
        <f aca="false">H106</f>
        <v>408257.976627851</v>
      </c>
      <c r="I107" s="10" t="n">
        <f aca="false">I106</f>
        <v>450548.935183723</v>
      </c>
      <c r="J107" s="10" t="n">
        <f aca="false">J106</f>
        <v>494160.955926342</v>
      </c>
      <c r="K107" s="10" t="n">
        <f aca="false">K106</f>
        <v>539134.717389914</v>
      </c>
      <c r="L107" s="10" t="n">
        <f aca="false">L106+((Operations!L42*(1+Operations!$B$11)/$Q$107)*(1-CashFlow!$B$5)-$B$104)</f>
        <v>13776437.0734752</v>
      </c>
      <c r="P107" s="53" t="n">
        <f aca="false">IRR(B107:L107)</f>
        <v>0.113285501354518</v>
      </c>
      <c r="Q107" s="50" t="n">
        <v>0.0625</v>
      </c>
    </row>
    <row r="108" customFormat="false" ht="15" hidden="true" customHeight="true" outlineLevel="1" collapsed="false">
      <c r="A108" s="52" t="s">
        <v>139</v>
      </c>
      <c r="B108" s="10" t="n">
        <f aca="false">-$B$102</f>
        <v>-6879250</v>
      </c>
      <c r="C108" s="10" t="n">
        <f aca="false">C106</f>
        <v>387356</v>
      </c>
      <c r="D108" s="10" t="n">
        <f aca="false">D106</f>
        <v>423610.88</v>
      </c>
      <c r="E108" s="10" t="n">
        <f aca="false">E106</f>
        <v>288922.547951598</v>
      </c>
      <c r="F108" s="10" t="n">
        <f aca="false">F106</f>
        <v>327482.520143598</v>
      </c>
      <c r="G108" s="10" t="n">
        <f aca="false">G106</f>
        <v>367248.606461358</v>
      </c>
      <c r="H108" s="10" t="n">
        <f aca="false">H106</f>
        <v>408257.976627851</v>
      </c>
      <c r="I108" s="10" t="n">
        <f aca="false">I106</f>
        <v>450548.935183723</v>
      </c>
      <c r="J108" s="10" t="n">
        <f aca="false">J106</f>
        <v>494160.955926342</v>
      </c>
      <c r="K108" s="10" t="n">
        <f aca="false">K106</f>
        <v>539134.717389914</v>
      </c>
      <c r="L108" s="10" t="n">
        <f aca="false">L106+((Operations!L42*(1+Operations!$B$11)/$Q$108)*(1-CashFlow!$B$5)-$B$104)</f>
        <v>12824102.2810376</v>
      </c>
      <c r="P108" s="53" t="n">
        <f aca="false">IRR(B108:L108)</f>
        <v>0.106741208433971</v>
      </c>
      <c r="Q108" s="50" t="n">
        <v>0.065</v>
      </c>
    </row>
    <row r="109" customFormat="false" ht="15" hidden="true" customHeight="true" outlineLevel="1" collapsed="false">
      <c r="A109" s="52" t="s">
        <v>140</v>
      </c>
      <c r="B109" s="10" t="n">
        <f aca="false">-$B$102</f>
        <v>-6879250</v>
      </c>
      <c r="C109" s="10" t="n">
        <f aca="false">C106</f>
        <v>387356</v>
      </c>
      <c r="D109" s="10" t="n">
        <f aca="false">D106</f>
        <v>423610.88</v>
      </c>
      <c r="E109" s="10" t="n">
        <f aca="false">E106</f>
        <v>288922.547951598</v>
      </c>
      <c r="F109" s="10" t="n">
        <f aca="false">F106</f>
        <v>327482.520143598</v>
      </c>
      <c r="G109" s="10" t="n">
        <f aca="false">G106</f>
        <v>367248.606461358</v>
      </c>
      <c r="H109" s="10" t="n">
        <f aca="false">H106</f>
        <v>408257.976627851</v>
      </c>
      <c r="I109" s="10" t="n">
        <f aca="false">I106</f>
        <v>450548.935183723</v>
      </c>
      <c r="J109" s="10" t="n">
        <f aca="false">J106</f>
        <v>494160.955926342</v>
      </c>
      <c r="K109" s="10" t="n">
        <f aca="false">K106</f>
        <v>539134.717389914</v>
      </c>
      <c r="L109" s="10" t="n">
        <f aca="false">L106+((Operations!L42*(1+Operations!$B$11)/$Q$109)*(1-CashFlow!$B$5)-$B$104)</f>
        <v>11942310.8065583</v>
      </c>
      <c r="P109" s="53" t="n">
        <f aca="false">IRR(B109:L109)</f>
        <v>0.100327872417679</v>
      </c>
      <c r="Q109" s="50" t="n">
        <v>0.0675</v>
      </c>
    </row>
    <row r="110" customFormat="false" ht="15" hidden="true" customHeight="true" outlineLevel="1" collapsed="false">
      <c r="A110" s="52" t="s">
        <v>141</v>
      </c>
      <c r="B110" s="10" t="n">
        <f aca="false">-$B$102</f>
        <v>-6879250</v>
      </c>
      <c r="C110" s="10" t="n">
        <f aca="false">C106</f>
        <v>387356</v>
      </c>
      <c r="D110" s="10" t="n">
        <f aca="false">D106</f>
        <v>423610.88</v>
      </c>
      <c r="E110" s="10" t="n">
        <f aca="false">E106</f>
        <v>288922.547951598</v>
      </c>
      <c r="F110" s="10" t="n">
        <f aca="false">F106</f>
        <v>327482.520143598</v>
      </c>
      <c r="G110" s="10" t="n">
        <f aca="false">G106</f>
        <v>367248.606461358</v>
      </c>
      <c r="H110" s="10" t="n">
        <f aca="false">H106</f>
        <v>408257.976627851</v>
      </c>
      <c r="I110" s="10" t="n">
        <f aca="false">I106</f>
        <v>450548.935183723</v>
      </c>
      <c r="J110" s="10" t="n">
        <f aca="false">J106</f>
        <v>494160.955926342</v>
      </c>
      <c r="K110" s="10" t="n">
        <f aca="false">K106</f>
        <v>539134.717389914</v>
      </c>
      <c r="L110" s="10" t="n">
        <f aca="false">L106+((Operations!L42*(1+Operations!$B$11)/$Q$110)*(1-CashFlow!$B$5)-$B$104)</f>
        <v>11123504.4373989</v>
      </c>
      <c r="P110" s="53" t="n">
        <f aca="false">IRR(B110:L110)</f>
        <v>0.0940288269360375</v>
      </c>
      <c r="Q110" s="50" t="n">
        <v>0.07</v>
      </c>
    </row>
    <row r="111" customFormat="false" ht="15" hidden="true" customHeight="true" outlineLevel="1" collapsed="false">
      <c r="A111" s="52" t="s">
        <v>142</v>
      </c>
      <c r="B111" s="10" t="n">
        <f aca="false">-$B$102</f>
        <v>-6879250</v>
      </c>
      <c r="C111" s="10" t="n">
        <f aca="false">C106</f>
        <v>387356</v>
      </c>
      <c r="D111" s="10" t="n">
        <f aca="false">D106</f>
        <v>423610.88</v>
      </c>
      <c r="E111" s="10" t="n">
        <f aca="false">E106</f>
        <v>288922.547951598</v>
      </c>
      <c r="F111" s="10" t="n">
        <f aca="false">F106</f>
        <v>327482.520143598</v>
      </c>
      <c r="G111" s="10" t="n">
        <f aca="false">G106</f>
        <v>367248.606461358</v>
      </c>
      <c r="H111" s="10" t="n">
        <f aca="false">H106</f>
        <v>408257.976627851</v>
      </c>
      <c r="I111" s="10" t="n">
        <f aca="false">I106</f>
        <v>450548.935183723</v>
      </c>
      <c r="J111" s="10" t="n">
        <f aca="false">J106</f>
        <v>494160.955926342</v>
      </c>
      <c r="K111" s="10" t="n">
        <f aca="false">K106</f>
        <v>539134.717389914</v>
      </c>
      <c r="L111" s="10" t="n">
        <f aca="false">L106+((Operations!L42*(1+Operations!$B$11)/$Q$111)*(1-CashFlow!$B$5)-$B$104)</f>
        <v>10361167.4730092</v>
      </c>
      <c r="P111" s="53" t="n">
        <f aca="false">IRR(B111:L111)</f>
        <v>0.0878286779853256</v>
      </c>
      <c r="Q111" s="50" t="n">
        <v>0.0725</v>
      </c>
    </row>
    <row r="112" customFormat="false" ht="15" hidden="true" customHeight="true" outlineLevel="1" collapsed="false"/>
    <row r="113" customFormat="false" ht="15" hidden="true" customHeight="true" outlineLevel="1" collapsed="false">
      <c r="A113" s="49" t="s">
        <v>156</v>
      </c>
      <c r="B113" s="54" t="n">
        <v>20250000</v>
      </c>
    </row>
    <row r="114" customFormat="false" ht="15" hidden="true" customHeight="true" outlineLevel="1" collapsed="false">
      <c r="A114" s="51" t="s">
        <v>149</v>
      </c>
      <c r="B114" s="10" t="n">
        <f aca="false">$B$113*Debt!$B$6</f>
        <v>13636708.8607595</v>
      </c>
    </row>
    <row r="115" customFormat="false" ht="15" hidden="true" customHeight="true" outlineLevel="1" collapsed="false">
      <c r="A115" s="51" t="s">
        <v>150</v>
      </c>
      <c r="B115" s="10" t="n">
        <f aca="false">$B$113+$B$113*Summary!$C$11+$B$114*Summary!$C$13-$B$114</f>
        <v>7053408.2278481</v>
      </c>
    </row>
    <row r="116" customFormat="false" ht="15" hidden="true" customHeight="true" outlineLevel="1" collapsed="false">
      <c r="A116" s="51" t="s">
        <v>151</v>
      </c>
      <c r="B116" s="23" t="n">
        <f aca="false">-PMT(Debt!$B$8,Debt!$B$11,$B$114)</f>
        <v>78113.5853737559</v>
      </c>
    </row>
    <row r="117" customFormat="false" ht="15" hidden="true" customHeight="true" outlineLevel="1" collapsed="false">
      <c r="A117" s="51" t="s">
        <v>152</v>
      </c>
      <c r="B117" s="10" t="n">
        <f aca="false">$B$114+CUMPRINC(Debt!$B$8,Debt!$B$11,$B$114,1,96,0)</f>
        <v>11862685.4837144</v>
      </c>
    </row>
    <row r="118" customFormat="false" ht="15" hidden="true" customHeight="true" outlineLevel="1" collapsed="false">
      <c r="A118" s="51" t="s">
        <v>153</v>
      </c>
      <c r="C118" s="10" t="n">
        <f aca="false">IF(1&lt;=Debt!$B$9,$B$114*Debt!$B$7,12*$B$116)</f>
        <v>760928.35443038</v>
      </c>
      <c r="D118" s="10" t="n">
        <f aca="false">IF(2&lt;=Debt!$B$9,$B$114*Debt!$B$7,12*$B$116)</f>
        <v>760928.35443038</v>
      </c>
      <c r="E118" s="10" t="n">
        <f aca="false">IF(3&lt;=Debt!$B$9,$B$114*Debt!$B$7,12*$B$116)</f>
        <v>937363.024485071</v>
      </c>
      <c r="F118" s="10" t="n">
        <f aca="false">IF(4&lt;=Debt!$B$9,$B$114*Debt!$B$7,12*$B$116)</f>
        <v>937363.024485071</v>
      </c>
      <c r="G118" s="10" t="n">
        <f aca="false">IF(5&lt;=Debt!$B$9,$B$114*Debt!$B$7,12*$B$116)</f>
        <v>937363.024485071</v>
      </c>
      <c r="H118" s="10" t="n">
        <f aca="false">IF(6&lt;=Debt!$B$9,$B$114*Debt!$B$7,12*$B$116)</f>
        <v>937363.024485071</v>
      </c>
      <c r="I118" s="10" t="n">
        <f aca="false">IF(7&lt;=Debt!$B$9,$B$114*Debt!$B$7,12*$B$116)</f>
        <v>937363.024485071</v>
      </c>
      <c r="J118" s="10" t="n">
        <f aca="false">IF(8&lt;=Debt!$B$9,$B$114*Debt!$B$7,12*$B$116)</f>
        <v>937363.024485071</v>
      </c>
      <c r="K118" s="10" t="n">
        <f aca="false">IF(9&lt;=Debt!$B$9,$B$114*Debt!$B$7,12*$B$116)</f>
        <v>937363.024485071</v>
      </c>
      <c r="L118" s="10" t="n">
        <f aca="false">IF(10&lt;=Debt!$B$9,$B$114*Debt!$B$7,12*$B$116)</f>
        <v>937363.024485071</v>
      </c>
    </row>
    <row r="119" customFormat="false" ht="15" hidden="true" customHeight="true" outlineLevel="1" collapsed="false">
      <c r="A119" s="51" t="s">
        <v>137</v>
      </c>
      <c r="C119" s="10" t="n">
        <f aca="false">Operations!C42-Operations!C43-C118</f>
        <v>368567.64556962</v>
      </c>
      <c r="D119" s="10" t="n">
        <f aca="false">Operations!D42-Operations!D43-D118</f>
        <v>404822.52556962</v>
      </c>
      <c r="E119" s="10" t="n">
        <f aca="false">Operations!E42-Operations!E43-E118</f>
        <v>265777.78191493</v>
      </c>
      <c r="F119" s="10" t="n">
        <f aca="false">Operations!F42-Operations!F43-F118</f>
        <v>304337.75410693</v>
      </c>
      <c r="G119" s="10" t="n">
        <f aca="false">Operations!G42-Operations!G43-G118</f>
        <v>344103.84042469</v>
      </c>
      <c r="H119" s="10" t="n">
        <f aca="false">Operations!H42-Operations!H43-H118</f>
        <v>385113.210591182</v>
      </c>
      <c r="I119" s="10" t="n">
        <f aca="false">Operations!I42-Operations!I43-I118</f>
        <v>427404.169147054</v>
      </c>
      <c r="J119" s="10" t="n">
        <f aca="false">Operations!J42-Operations!J43-J118</f>
        <v>471016.189889674</v>
      </c>
      <c r="K119" s="10" t="n">
        <f aca="false">Operations!K42-Operations!K43-K118</f>
        <v>515989.951353245</v>
      </c>
      <c r="L119" s="10" t="n">
        <f aca="false">Operations!L42-Operations!L43-L118</f>
        <v>562367.37336137</v>
      </c>
    </row>
    <row r="120" customFormat="false" ht="15" hidden="true" customHeight="true" outlineLevel="1" collapsed="false">
      <c r="A120" s="52" t="s">
        <v>138</v>
      </c>
      <c r="B120" s="10" t="n">
        <f aca="false">-$B$115</f>
        <v>-7053408.2278481</v>
      </c>
      <c r="C120" s="10" t="n">
        <f aca="false">C119</f>
        <v>368567.64556962</v>
      </c>
      <c r="D120" s="10" t="n">
        <f aca="false">D119</f>
        <v>404822.52556962</v>
      </c>
      <c r="E120" s="10" t="n">
        <f aca="false">E119</f>
        <v>265777.78191493</v>
      </c>
      <c r="F120" s="10" t="n">
        <f aca="false">F119</f>
        <v>304337.75410693</v>
      </c>
      <c r="G120" s="10" t="n">
        <f aca="false">G119</f>
        <v>344103.84042469</v>
      </c>
      <c r="H120" s="10" t="n">
        <f aca="false">H119</f>
        <v>385113.210591182</v>
      </c>
      <c r="I120" s="10" t="n">
        <f aca="false">I119</f>
        <v>427404.169147054</v>
      </c>
      <c r="J120" s="10" t="n">
        <f aca="false">J119</f>
        <v>471016.189889674</v>
      </c>
      <c r="K120" s="10" t="n">
        <f aca="false">K119</f>
        <v>515989.951353245</v>
      </c>
      <c r="L120" s="10" t="n">
        <f aca="false">L119+((Operations!L42*(1+Operations!$B$11)/$Q$120)*(1-CashFlow!$B$5)-$B$117)</f>
        <v>13460386.4930259</v>
      </c>
      <c r="P120" s="53" t="n">
        <f aca="false">IRR(B120:L120)</f>
        <v>0.105506096181094</v>
      </c>
      <c r="Q120" s="50" t="n">
        <v>0.0625</v>
      </c>
    </row>
    <row r="121" customFormat="false" ht="15" hidden="true" customHeight="true" outlineLevel="1" collapsed="false">
      <c r="A121" s="52" t="s">
        <v>139</v>
      </c>
      <c r="B121" s="10" t="n">
        <f aca="false">-$B$115</f>
        <v>-7053408.2278481</v>
      </c>
      <c r="C121" s="10" t="n">
        <f aca="false">C119</f>
        <v>368567.64556962</v>
      </c>
      <c r="D121" s="10" t="n">
        <f aca="false">D119</f>
        <v>404822.52556962</v>
      </c>
      <c r="E121" s="10" t="n">
        <f aca="false">E119</f>
        <v>265777.78191493</v>
      </c>
      <c r="F121" s="10" t="n">
        <f aca="false">F119</f>
        <v>304337.75410693</v>
      </c>
      <c r="G121" s="10" t="n">
        <f aca="false">G119</f>
        <v>344103.84042469</v>
      </c>
      <c r="H121" s="10" t="n">
        <f aca="false">H119</f>
        <v>385113.210591182</v>
      </c>
      <c r="I121" s="10" t="n">
        <f aca="false">I119</f>
        <v>427404.169147054</v>
      </c>
      <c r="J121" s="10" t="n">
        <f aca="false">J119</f>
        <v>471016.189889674</v>
      </c>
      <c r="K121" s="10" t="n">
        <f aca="false">K119</f>
        <v>515989.951353245</v>
      </c>
      <c r="L121" s="10" t="n">
        <f aca="false">L119+((Operations!L42*(1+Operations!$B$11)/$Q$121)*(1-CashFlow!$B$5)-$B$117)</f>
        <v>12508051.7005882</v>
      </c>
      <c r="P121" s="53" t="n">
        <f aca="false">IRR(B121:L121)</f>
        <v>0.0987823198386671</v>
      </c>
      <c r="Q121" s="50" t="n">
        <v>0.065</v>
      </c>
    </row>
    <row r="122" customFormat="false" ht="15" hidden="true" customHeight="true" outlineLevel="1" collapsed="false">
      <c r="A122" s="52" t="s">
        <v>140</v>
      </c>
      <c r="B122" s="10" t="n">
        <f aca="false">-$B$115</f>
        <v>-7053408.2278481</v>
      </c>
      <c r="C122" s="10" t="n">
        <f aca="false">C119</f>
        <v>368567.64556962</v>
      </c>
      <c r="D122" s="10" t="n">
        <f aca="false">D119</f>
        <v>404822.52556962</v>
      </c>
      <c r="E122" s="10" t="n">
        <f aca="false">E119</f>
        <v>265777.78191493</v>
      </c>
      <c r="F122" s="10" t="n">
        <f aca="false">F119</f>
        <v>304337.75410693</v>
      </c>
      <c r="G122" s="10" t="n">
        <f aca="false">G119</f>
        <v>344103.84042469</v>
      </c>
      <c r="H122" s="10" t="n">
        <f aca="false">H119</f>
        <v>385113.210591182</v>
      </c>
      <c r="I122" s="10" t="n">
        <f aca="false">I119</f>
        <v>427404.169147054</v>
      </c>
      <c r="J122" s="10" t="n">
        <f aca="false">J119</f>
        <v>471016.189889674</v>
      </c>
      <c r="K122" s="10" t="n">
        <f aca="false">K119</f>
        <v>515989.951353245</v>
      </c>
      <c r="L122" s="10" t="n">
        <f aca="false">L119+((Operations!L42*(1+Operations!$B$11)/$Q$122)*(1-CashFlow!$B$5)-$B$117)</f>
        <v>11626260.2261089</v>
      </c>
      <c r="P122" s="53" t="n">
        <f aca="false">IRR(B122:L122)</f>
        <v>0.0921813679930659</v>
      </c>
      <c r="Q122" s="50" t="n">
        <v>0.0675</v>
      </c>
    </row>
    <row r="123" customFormat="false" ht="15" hidden="true" customHeight="true" outlineLevel="1" collapsed="false">
      <c r="A123" s="52" t="s">
        <v>141</v>
      </c>
      <c r="B123" s="10" t="n">
        <f aca="false">-$B$115</f>
        <v>-7053408.2278481</v>
      </c>
      <c r="C123" s="10" t="n">
        <f aca="false">C119</f>
        <v>368567.64556962</v>
      </c>
      <c r="D123" s="10" t="n">
        <f aca="false">D119</f>
        <v>404822.52556962</v>
      </c>
      <c r="E123" s="10" t="n">
        <f aca="false">E119</f>
        <v>265777.78191493</v>
      </c>
      <c r="F123" s="10" t="n">
        <f aca="false">F119</f>
        <v>304337.75410693</v>
      </c>
      <c r="G123" s="10" t="n">
        <f aca="false">G119</f>
        <v>344103.84042469</v>
      </c>
      <c r="H123" s="10" t="n">
        <f aca="false">H119</f>
        <v>385113.210591182</v>
      </c>
      <c r="I123" s="10" t="n">
        <f aca="false">I119</f>
        <v>427404.169147054</v>
      </c>
      <c r="J123" s="10" t="n">
        <f aca="false">J119</f>
        <v>471016.189889674</v>
      </c>
      <c r="K123" s="10" t="n">
        <f aca="false">K119</f>
        <v>515989.951353245</v>
      </c>
      <c r="L123" s="10" t="n">
        <f aca="false">L119+((Operations!L42*(1+Operations!$B$11)/$Q$123)*(1-CashFlow!$B$5)-$B$117)</f>
        <v>10807453.8569495</v>
      </c>
      <c r="P123" s="53" t="n">
        <f aca="false">IRR(B123:L123)</f>
        <v>0.0856858904751825</v>
      </c>
      <c r="Q123" s="50" t="n">
        <v>0.07</v>
      </c>
    </row>
    <row r="124" customFormat="false" ht="15" hidden="true" customHeight="true" outlineLevel="1" collapsed="false">
      <c r="A124" s="52" t="s">
        <v>142</v>
      </c>
      <c r="B124" s="10" t="n">
        <f aca="false">-$B$115</f>
        <v>-7053408.2278481</v>
      </c>
      <c r="C124" s="10" t="n">
        <f aca="false">C119</f>
        <v>368567.64556962</v>
      </c>
      <c r="D124" s="10" t="n">
        <f aca="false">D119</f>
        <v>404822.52556962</v>
      </c>
      <c r="E124" s="10" t="n">
        <f aca="false">E119</f>
        <v>265777.78191493</v>
      </c>
      <c r="F124" s="10" t="n">
        <f aca="false">F119</f>
        <v>304337.75410693</v>
      </c>
      <c r="G124" s="10" t="n">
        <f aca="false">G119</f>
        <v>344103.84042469</v>
      </c>
      <c r="H124" s="10" t="n">
        <f aca="false">H119</f>
        <v>385113.210591182</v>
      </c>
      <c r="I124" s="10" t="n">
        <f aca="false">I119</f>
        <v>427404.169147054</v>
      </c>
      <c r="J124" s="10" t="n">
        <f aca="false">J119</f>
        <v>471016.189889674</v>
      </c>
      <c r="K124" s="10" t="n">
        <f aca="false">K119</f>
        <v>515989.951353245</v>
      </c>
      <c r="L124" s="10" t="n">
        <f aca="false">L119+((Operations!L42*(1+Operations!$B$11)/$Q$124)*(1-CashFlow!$B$5)-$B$117)</f>
        <v>10045116.8925598</v>
      </c>
      <c r="P124" s="53" t="n">
        <f aca="false">IRR(B124:L124)</f>
        <v>0.0792797292494003</v>
      </c>
      <c r="Q124" s="50" t="n">
        <v>0.0725</v>
      </c>
    </row>
    <row r="125" customFormat="false" ht="15" hidden="true" customHeight="true" outlineLevel="1" collapsed="false"/>
    <row r="126" customFormat="false" ht="15" hidden="true" customHeight="true" outlineLevel="1" collapsed="false">
      <c r="A126" s="49" t="s">
        <v>157</v>
      </c>
      <c r="B126" s="54" t="n">
        <v>20750000</v>
      </c>
    </row>
    <row r="127" customFormat="false" ht="15" hidden="true" customHeight="true" outlineLevel="1" collapsed="false">
      <c r="A127" s="51" t="s">
        <v>149</v>
      </c>
      <c r="B127" s="10" t="n">
        <f aca="false">$B$126*Debt!$B$6</f>
        <v>13973417.721519</v>
      </c>
    </row>
    <row r="128" customFormat="false" ht="15" hidden="true" customHeight="true" outlineLevel="1" collapsed="false">
      <c r="A128" s="51" t="s">
        <v>150</v>
      </c>
      <c r="B128" s="10" t="n">
        <f aca="false">$B$126+$B$126*Summary!$C$11+$B$127*Summary!$C$13-$B$127</f>
        <v>7227566.4556962</v>
      </c>
    </row>
    <row r="129" customFormat="false" ht="15" hidden="true" customHeight="true" outlineLevel="1" collapsed="false">
      <c r="A129" s="51" t="s">
        <v>151</v>
      </c>
      <c r="B129" s="23" t="n">
        <f aca="false">-PMT(Debt!$B$8,Debt!$B$11,$B$127)</f>
        <v>80042.3158768116</v>
      </c>
    </row>
    <row r="130" customFormat="false" ht="15" hidden="true" customHeight="true" outlineLevel="1" collapsed="false">
      <c r="A130" s="51" t="s">
        <v>152</v>
      </c>
      <c r="B130" s="10" t="n">
        <f aca="false">$B$127+CUMPRINC(Debt!$B$8,Debt!$B$11,$B$127,1,96,0)</f>
        <v>12155591.2981271</v>
      </c>
    </row>
    <row r="131" customFormat="false" ht="15" hidden="true" customHeight="true" outlineLevel="1" collapsed="false">
      <c r="A131" s="51" t="s">
        <v>153</v>
      </c>
      <c r="C131" s="10" t="n">
        <f aca="false">IF(1&lt;=Debt!$B$9,$B$127*Debt!$B$7,12*$B$129)</f>
        <v>779716.70886076</v>
      </c>
      <c r="D131" s="10" t="n">
        <f aca="false">IF(2&lt;=Debt!$B$9,$B$127*Debt!$B$7,12*$B$129)</f>
        <v>779716.70886076</v>
      </c>
      <c r="E131" s="10" t="n">
        <f aca="false">IF(3&lt;=Debt!$B$9,$B$127*Debt!$B$7,12*$B$129)</f>
        <v>960507.790521739</v>
      </c>
      <c r="F131" s="10" t="n">
        <f aca="false">IF(4&lt;=Debt!$B$9,$B$127*Debt!$B$7,12*$B$129)</f>
        <v>960507.790521739</v>
      </c>
      <c r="G131" s="10" t="n">
        <f aca="false">IF(5&lt;=Debt!$B$9,$B$127*Debt!$B$7,12*$B$129)</f>
        <v>960507.790521739</v>
      </c>
      <c r="H131" s="10" t="n">
        <f aca="false">IF(6&lt;=Debt!$B$9,$B$127*Debt!$B$7,12*$B$129)</f>
        <v>960507.790521739</v>
      </c>
      <c r="I131" s="10" t="n">
        <f aca="false">IF(7&lt;=Debt!$B$9,$B$127*Debt!$B$7,12*$B$129)</f>
        <v>960507.790521739</v>
      </c>
      <c r="J131" s="10" t="n">
        <f aca="false">IF(8&lt;=Debt!$B$9,$B$127*Debt!$B$7,12*$B$129)</f>
        <v>960507.790521739</v>
      </c>
      <c r="K131" s="10" t="n">
        <f aca="false">IF(9&lt;=Debt!$B$9,$B$127*Debt!$B$7,12*$B$129)</f>
        <v>960507.790521739</v>
      </c>
      <c r="L131" s="10" t="n">
        <f aca="false">IF(10&lt;=Debt!$B$9,$B$127*Debt!$B$7,12*$B$129)</f>
        <v>960507.790521739</v>
      </c>
    </row>
    <row r="132" customFormat="false" ht="15" hidden="true" customHeight="true" outlineLevel="1" collapsed="false">
      <c r="A132" s="51" t="s">
        <v>137</v>
      </c>
      <c r="C132" s="10" t="n">
        <f aca="false">Operations!C42-Operations!C43-C131</f>
        <v>349779.291139241</v>
      </c>
      <c r="D132" s="10" t="n">
        <f aca="false">Operations!D42-Operations!D43-D131</f>
        <v>386034.17113924</v>
      </c>
      <c r="E132" s="10" t="n">
        <f aca="false">Operations!E42-Operations!E43-E131</f>
        <v>242633.015878262</v>
      </c>
      <c r="F132" s="10" t="n">
        <f aca="false">Operations!F42-Operations!F43-F131</f>
        <v>281192.988070261</v>
      </c>
      <c r="G132" s="10" t="n">
        <f aca="false">Operations!G42-Operations!G43-G131</f>
        <v>320959.074388022</v>
      </c>
      <c r="H132" s="10" t="n">
        <f aca="false">Operations!H42-Operations!H43-H131</f>
        <v>361968.444554514</v>
      </c>
      <c r="I132" s="10" t="n">
        <f aca="false">Operations!I42-Operations!I43-I131</f>
        <v>404259.403110386</v>
      </c>
      <c r="J132" s="10" t="n">
        <f aca="false">Operations!J42-Operations!J43-J131</f>
        <v>447871.423853006</v>
      </c>
      <c r="K132" s="10" t="n">
        <f aca="false">Operations!K42-Operations!K43-K131</f>
        <v>492845.185316577</v>
      </c>
      <c r="L132" s="10" t="n">
        <f aca="false">Operations!L42-Operations!L43-L131</f>
        <v>539222.607324702</v>
      </c>
    </row>
    <row r="133" customFormat="false" ht="15" hidden="true" customHeight="true" outlineLevel="1" collapsed="false">
      <c r="A133" s="52" t="s">
        <v>138</v>
      </c>
      <c r="B133" s="10" t="n">
        <f aca="false">-$B$128</f>
        <v>-7227566.4556962</v>
      </c>
      <c r="C133" s="10" t="n">
        <f aca="false">C132</f>
        <v>349779.291139241</v>
      </c>
      <c r="D133" s="10" t="n">
        <f aca="false">D132</f>
        <v>386034.17113924</v>
      </c>
      <c r="E133" s="10" t="n">
        <f aca="false">E132</f>
        <v>242633.015878262</v>
      </c>
      <c r="F133" s="10" t="n">
        <f aca="false">F132</f>
        <v>281192.988070261</v>
      </c>
      <c r="G133" s="10" t="n">
        <f aca="false">G132</f>
        <v>320959.074388022</v>
      </c>
      <c r="H133" s="10" t="n">
        <f aca="false">H132</f>
        <v>361968.444554514</v>
      </c>
      <c r="I133" s="10" t="n">
        <f aca="false">I132</f>
        <v>404259.403110386</v>
      </c>
      <c r="J133" s="10" t="n">
        <f aca="false">J132</f>
        <v>447871.423853006</v>
      </c>
      <c r="K133" s="10" t="n">
        <f aca="false">K132</f>
        <v>492845.185316577</v>
      </c>
      <c r="L133" s="10" t="n">
        <f aca="false">L132+((Operations!L42*(1+Operations!$B$11)/$Q$133)*(1-CashFlow!$B$5)-$B$130)</f>
        <v>13144335.9125765</v>
      </c>
      <c r="P133" s="53" t="n">
        <f aca="false">IRR(B133:L133)</f>
        <v>0.0978382784737241</v>
      </c>
      <c r="Q133" s="50" t="n">
        <v>0.0625</v>
      </c>
    </row>
    <row r="134" customFormat="false" ht="15" hidden="true" customHeight="true" outlineLevel="1" collapsed="false">
      <c r="A134" s="52" t="s">
        <v>139</v>
      </c>
      <c r="B134" s="10" t="n">
        <f aca="false">-$B$128</f>
        <v>-7227566.4556962</v>
      </c>
      <c r="C134" s="10" t="n">
        <f aca="false">C132</f>
        <v>349779.291139241</v>
      </c>
      <c r="D134" s="10" t="n">
        <f aca="false">D132</f>
        <v>386034.17113924</v>
      </c>
      <c r="E134" s="10" t="n">
        <f aca="false">E132</f>
        <v>242633.015878262</v>
      </c>
      <c r="F134" s="10" t="n">
        <f aca="false">F132</f>
        <v>281192.988070261</v>
      </c>
      <c r="G134" s="10" t="n">
        <f aca="false">G132</f>
        <v>320959.074388022</v>
      </c>
      <c r="H134" s="10" t="n">
        <f aca="false">H132</f>
        <v>361968.444554514</v>
      </c>
      <c r="I134" s="10" t="n">
        <f aca="false">I132</f>
        <v>404259.403110386</v>
      </c>
      <c r="J134" s="10" t="n">
        <f aca="false">J132</f>
        <v>447871.423853006</v>
      </c>
      <c r="K134" s="10" t="n">
        <f aca="false">K132</f>
        <v>492845.185316577</v>
      </c>
      <c r="L134" s="10" t="n">
        <f aca="false">L132+((Operations!L42*(1+Operations!$B$11)/$Q$134)*(1-CashFlow!$B$5)-$B$130)</f>
        <v>12192001.1201388</v>
      </c>
      <c r="P134" s="53" t="n">
        <f aca="false">IRR(B134:L134)</f>
        <v>0.0909268086754108</v>
      </c>
      <c r="Q134" s="50" t="n">
        <v>0.065</v>
      </c>
    </row>
    <row r="135" customFormat="false" ht="15" hidden="true" customHeight="true" outlineLevel="1" collapsed="false">
      <c r="A135" s="52" t="s">
        <v>140</v>
      </c>
      <c r="B135" s="10" t="n">
        <f aca="false">-$B$128</f>
        <v>-7227566.4556962</v>
      </c>
      <c r="C135" s="10" t="n">
        <f aca="false">C132</f>
        <v>349779.291139241</v>
      </c>
      <c r="D135" s="10" t="n">
        <f aca="false">D132</f>
        <v>386034.17113924</v>
      </c>
      <c r="E135" s="10" t="n">
        <f aca="false">E132</f>
        <v>242633.015878262</v>
      </c>
      <c r="F135" s="10" t="n">
        <f aca="false">F132</f>
        <v>281192.988070261</v>
      </c>
      <c r="G135" s="10" t="n">
        <f aca="false">G132</f>
        <v>320959.074388022</v>
      </c>
      <c r="H135" s="10" t="n">
        <f aca="false">H132</f>
        <v>361968.444554514</v>
      </c>
      <c r="I135" s="10" t="n">
        <f aca="false">I132</f>
        <v>404259.403110386</v>
      </c>
      <c r="J135" s="10" t="n">
        <f aca="false">J132</f>
        <v>447871.423853006</v>
      </c>
      <c r="K135" s="10" t="n">
        <f aca="false">K132</f>
        <v>492845.185316577</v>
      </c>
      <c r="L135" s="10" t="n">
        <f aca="false">L132+((Operations!L42*(1+Operations!$B$11)/$Q$135)*(1-CashFlow!$B$5)-$B$130)</f>
        <v>11310209.6456595</v>
      </c>
      <c r="P135" s="53" t="n">
        <f aca="false">IRR(B135:L135)</f>
        <v>0.0841289149360697</v>
      </c>
      <c r="Q135" s="50" t="n">
        <v>0.0675</v>
      </c>
    </row>
    <row r="136" customFormat="false" ht="15" hidden="true" customHeight="true" outlineLevel="1" collapsed="false">
      <c r="A136" s="52" t="s">
        <v>141</v>
      </c>
      <c r="B136" s="10" t="n">
        <f aca="false">-$B$128</f>
        <v>-7227566.4556962</v>
      </c>
      <c r="C136" s="10" t="n">
        <f aca="false">C132</f>
        <v>349779.291139241</v>
      </c>
      <c r="D136" s="10" t="n">
        <f aca="false">D132</f>
        <v>386034.17113924</v>
      </c>
      <c r="E136" s="10" t="n">
        <f aca="false">E132</f>
        <v>242633.015878262</v>
      </c>
      <c r="F136" s="10" t="n">
        <f aca="false">F132</f>
        <v>281192.988070261</v>
      </c>
      <c r="G136" s="10" t="n">
        <f aca="false">G132</f>
        <v>320959.074388022</v>
      </c>
      <c r="H136" s="10" t="n">
        <f aca="false">H132</f>
        <v>361968.444554514</v>
      </c>
      <c r="I136" s="10" t="n">
        <f aca="false">I132</f>
        <v>404259.403110386</v>
      </c>
      <c r="J136" s="10" t="n">
        <f aca="false">J132</f>
        <v>447871.423853006</v>
      </c>
      <c r="K136" s="10" t="n">
        <f aca="false">K132</f>
        <v>492845.185316577</v>
      </c>
      <c r="L136" s="10" t="n">
        <f aca="false">L132+((Operations!L42*(1+Operations!$B$11)/$Q$136)*(1-CashFlow!$B$5)-$B$130)</f>
        <v>10491403.2765002</v>
      </c>
      <c r="P136" s="53" t="n">
        <f aca="false">IRR(B136:L136)</f>
        <v>0.0774264145048009</v>
      </c>
      <c r="Q136" s="50" t="n">
        <v>0.07</v>
      </c>
    </row>
    <row r="137" customFormat="false" ht="15" hidden="true" customHeight="true" outlineLevel="1" collapsed="false">
      <c r="A137" s="52" t="s">
        <v>142</v>
      </c>
      <c r="B137" s="10" t="n">
        <f aca="false">-$B$128</f>
        <v>-7227566.4556962</v>
      </c>
      <c r="C137" s="10" t="n">
        <f aca="false">C132</f>
        <v>349779.291139241</v>
      </c>
      <c r="D137" s="10" t="n">
        <f aca="false">D132</f>
        <v>386034.17113924</v>
      </c>
      <c r="E137" s="10" t="n">
        <f aca="false">E132</f>
        <v>242633.015878262</v>
      </c>
      <c r="F137" s="10" t="n">
        <f aca="false">F132</f>
        <v>281192.988070261</v>
      </c>
      <c r="G137" s="10" t="n">
        <f aca="false">G132</f>
        <v>320959.074388022</v>
      </c>
      <c r="H137" s="10" t="n">
        <f aca="false">H132</f>
        <v>361968.444554514</v>
      </c>
      <c r="I137" s="10" t="n">
        <f aca="false">I132</f>
        <v>404259.403110386</v>
      </c>
      <c r="J137" s="10" t="n">
        <f aca="false">J132</f>
        <v>447871.423853006</v>
      </c>
      <c r="K137" s="10" t="n">
        <f aca="false">K132</f>
        <v>492845.185316577</v>
      </c>
      <c r="L137" s="10" t="n">
        <f aca="false">L132+((Operations!L42*(1+Operations!$B$11)/$Q$137)*(1-CashFlow!$B$5)-$B$130)</f>
        <v>9729066.31211043</v>
      </c>
      <c r="P137" s="53" t="n">
        <f aca="false">IRR(B137:L137)</f>
        <v>0.0708022115443728</v>
      </c>
      <c r="Q137" s="50" t="n">
        <v>0.0725</v>
      </c>
    </row>
    <row r="138" customFormat="false" ht="15" hidden="true" customHeight="true" outlineLevel="1" collapsed="false"/>
    <row r="139" customFormat="false" ht="15" hidden="true" customHeight="true" outlineLevel="1" collapsed="false"/>
  </sheetData>
  <mergeCells count="5">
    <mergeCell ref="A1:H1"/>
    <mergeCell ref="A3:H3"/>
    <mergeCell ref="A11:H11"/>
    <mergeCell ref="A20:Q20"/>
    <mergeCell ref="A72:Q72"/>
  </mergeCells>
  <conditionalFormatting sqref="C5:G9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13:G17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2026-08-24T21:32:14Z</dcterms:created>
  <dc:creator>openpyxl</dc:creator>
  <dc:description/>
  <dc:language>en-US</dc:language>
  <cp:lastModifiedBy/>
  <dcterms:modified xsi:type="dcterms:W3CDTF">2026-08-25T18:39:20Z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