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comments4.xml" ContentType="application/vnd.openxmlformats-officedocument.spreadsheetml.comments+xml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rivers" sheetId="2" state="visible" r:id="rId4"/>
    <sheet name="Income Statement" sheetId="3" state="visible" r:id="rId5"/>
    <sheet name="Balance Sheet" sheetId="4" state="visible" r:id="rId6"/>
    <sheet name="Cash Flow" sheetId="5" state="visible" r:id="rId7"/>
    <sheet name="DCF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3" authorId="0">
      <text>
        <r>
          <rPr>
            <sz val="10"/>
            <rFont val="Arial"/>
            <family val="2"/>
          </rPr>
          <t xml:space="preserve">Update with live quote. ~$80B mkt cap / ~635mm sh as of mid-2026.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Arial"/>
            <family val="2"/>
          </rPr>
          <t xml:space="preserve">Source: ABNB FY2024 10-K, Statements of Operations</t>
        </r>
      </text>
    </comment>
    <comment ref="D12" authorId="0">
      <text>
        <r>
          <rPr>
            <sz val="10"/>
            <rFont val="Arial"/>
            <family val="2"/>
          </rPr>
          <t xml:space="preserve">FY2023 elevated by legal/non-recurring items; FY2024 normalized ~10.7% of rev</t>
        </r>
      </text>
    </comment>
    <comment ref="D20" authorId="0">
      <text>
        <r>
          <rPr>
            <sz val="10"/>
            <rFont val="Arial"/>
            <family val="2"/>
          </rPr>
          <t xml:space="preserve">FY2023 = tax BENEFIT from valuation allowance release (+$2,690mm)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8" authorId="0">
      <text>
        <r>
          <rPr>
            <sz val="10"/>
            <rFont val="Arial"/>
            <family val="2"/>
          </rPr>
          <t xml:space="preserve">Plug to filed total equity ($8,412mm); reflects cumulative buybacks (~$3.4B in FY2024)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1" authorId="0">
      <text>
        <r>
          <rPr>
            <sz val="10"/>
            <rFont val="Arial"/>
            <family val="2"/>
          </rPr>
          <t xml:space="preserve">FY2023 deferred taxes (2,875) + other 83; FY2024 deferred taxes 433 + other 32</t>
        </r>
      </text>
    </comment>
    <comment ref="D25" authorId="0">
      <text>
        <r>
          <rPr>
            <sz val="10"/>
            <rFont val="Arial"/>
            <family val="2"/>
          </rPr>
          <t xml:space="preserve">Reconciles to change in cash &amp; equivalents (BS line); customer-funds/restricted/FX netted here</t>
        </r>
      </text>
    </comment>
    <comment ref="D29" authorId="0">
      <text>
        <r>
          <rPr>
            <sz val="10"/>
            <rFont val="Arial"/>
            <family val="2"/>
          </rPr>
          <t xml:space="preserve">FY2022 year-end cash &amp; equivalents</t>
        </r>
      </text>
    </comment>
    <comment ref="E24" authorId="0">
      <text>
        <r>
          <rPr>
            <sz val="10"/>
            <rFont val="Arial"/>
            <family val="2"/>
          </rPr>
          <t xml:space="preserve">FY2024 buybacks $3.4B (Q4 8-K). FY2023 ~$2.25B. Projections assume none (base case).</t>
        </r>
      </text>
    </comment>
  </commentList>
</comments>
</file>

<file path=xl/sharedStrings.xml><?xml version="1.0" encoding="utf-8"?>
<sst xmlns="http://schemas.openxmlformats.org/spreadsheetml/2006/main" count="138" uniqueCount="128">
  <si>
    <t xml:space="preserve">Drivers &amp; Assumptions</t>
  </si>
  <si>
    <t xml:space="preserve">($ in millions)</t>
  </si>
  <si>
    <t xml:space="preserve">Revenue growth (%)</t>
  </si>
  <si>
    <t xml:space="preserve">n/a</t>
  </si>
  <si>
    <t xml:space="preserve">Cost of revenue (% rev)</t>
  </si>
  <si>
    <t xml:space="preserve">Operations &amp; support (% rev)</t>
  </si>
  <si>
    <t xml:space="preserve">Product development (% rev)</t>
  </si>
  <si>
    <t xml:space="preserve">Sales &amp; marketing (% rev)</t>
  </si>
  <si>
    <t xml:space="preserve">General &amp; admin (% rev)</t>
  </si>
  <si>
    <t xml:space="preserve">Tax rate (%)</t>
  </si>
  <si>
    <t xml:space="preserve">Interest yield on opening cash+ST inv (%)</t>
  </si>
  <si>
    <t xml:space="preserve">Other income/(expense), net ($mm)</t>
  </si>
  <si>
    <t xml:space="preserve">D&amp;A (% rev)  [asset-light]</t>
  </si>
  <si>
    <t xml:space="preserve">Capex (% rev)  [asset-light]</t>
  </si>
  <si>
    <t xml:space="preserve">Stock-based comp (% rev)</t>
  </si>
  <si>
    <t xml:space="preserve">Working capital (% of revenue)</t>
  </si>
  <si>
    <t xml:space="preserve">Prepaids &amp; other assets</t>
  </si>
  <si>
    <t xml:space="preserve">Accrued exp &amp; other liabilities</t>
  </si>
  <si>
    <t xml:space="preserve">Unearned fees (deferred rev)</t>
  </si>
  <si>
    <t xml:space="preserve">DCF inputs</t>
  </si>
  <si>
    <t xml:space="preserve">Risk-free rate</t>
  </si>
  <si>
    <t xml:space="preserve">Equity risk premium</t>
  </si>
  <si>
    <t xml:space="preserve">Beta</t>
  </si>
  <si>
    <t xml:space="preserve">Pre-tax cost of debt</t>
  </si>
  <si>
    <t xml:space="preserve">Terminal growth rate</t>
  </si>
  <si>
    <t xml:space="preserve">Current share price ($)</t>
  </si>
  <si>
    <t xml:space="preserve">Diluted shares outstanding (mm)</t>
  </si>
  <si>
    <t xml:space="preserve">Income Statement</t>
  </si>
  <si>
    <t xml:space="preserve">Revenue</t>
  </si>
  <si>
    <t xml:space="preserve">Cost of revenue</t>
  </si>
  <si>
    <t xml:space="preserve">Operations &amp; support</t>
  </si>
  <si>
    <t xml:space="preserve">Product development</t>
  </si>
  <si>
    <t xml:space="preserve">Sales &amp; marketing</t>
  </si>
  <si>
    <t xml:space="preserve">General &amp; administrative</t>
  </si>
  <si>
    <t xml:space="preserve">Total costs &amp; expenses</t>
  </si>
  <si>
    <t xml:space="preserve">Income from operations (EBIT)</t>
  </si>
  <si>
    <t xml:space="preserve">Interest income</t>
  </si>
  <si>
    <t xml:space="preserve">Interest expense</t>
  </si>
  <si>
    <t xml:space="preserve">Other income/(expense), net</t>
  </si>
  <si>
    <t xml:space="preserve">Pre-tax income (EBT)</t>
  </si>
  <si>
    <t xml:space="preserve">Income tax provision</t>
  </si>
  <si>
    <t xml:space="preserve">Net income</t>
  </si>
  <si>
    <t xml:space="preserve">Memo: EBIT margin</t>
  </si>
  <si>
    <t xml:space="preserve">Memo: Net income margin</t>
  </si>
  <si>
    <t xml:space="preserve">Memo: Revenue growth</t>
  </si>
  <si>
    <t xml:space="preserve">Balance Sheet</t>
  </si>
  <si>
    <t xml:space="preserve">Assets</t>
  </si>
  <si>
    <t xml:space="preserve">   Cash &amp; cash equivalents</t>
  </si>
  <si>
    <t xml:space="preserve">   Short-term investments</t>
  </si>
  <si>
    <t xml:space="preserve">   Funds receivable</t>
  </si>
  <si>
    <t xml:space="preserve">   Prepaids &amp; other current assets</t>
  </si>
  <si>
    <t xml:space="preserve">   Total current assets</t>
  </si>
  <si>
    <t xml:space="preserve">   Deferred tax assets</t>
  </si>
  <si>
    <t xml:space="preserve">   Goodwill &amp; intangibles, net</t>
  </si>
  <si>
    <t xml:space="preserve">   Other noncurrent assets (incl. PP&amp;E)</t>
  </si>
  <si>
    <t xml:space="preserve">Total assets</t>
  </si>
  <si>
    <t xml:space="preserve">Liabilities &amp; Stockholders' Equity</t>
  </si>
  <si>
    <t xml:space="preserve">   Accrued exp &amp; other current liab.</t>
  </si>
  <si>
    <t xml:space="preserve">   Funds payable</t>
  </si>
  <si>
    <t xml:space="preserve">   Unearned fees (deferred revenue)</t>
  </si>
  <si>
    <t xml:space="preserve">   Total current liabilities</t>
  </si>
  <si>
    <t xml:space="preserve">   Long-term debt</t>
  </si>
  <si>
    <t xml:space="preserve">   Other noncurrent liabilities</t>
  </si>
  <si>
    <t xml:space="preserve">Total liabilities</t>
  </si>
  <si>
    <t xml:space="preserve">   Additional paid-in capital</t>
  </si>
  <si>
    <t xml:space="preserve">   Accumulated deficit</t>
  </si>
  <si>
    <t xml:space="preserve">   Accumulated OCI</t>
  </si>
  <si>
    <t xml:space="preserve">   Total stockholders' equity</t>
  </si>
  <si>
    <t xml:space="preserve">Total liabilities &amp; equity</t>
  </si>
  <si>
    <t xml:space="preserve">Balance check (A - L&amp;E)</t>
  </si>
  <si>
    <t xml:space="preserve">Cash Flow Statement</t>
  </si>
  <si>
    <t xml:space="preserve">Operating activities</t>
  </si>
  <si>
    <t xml:space="preserve">   Net income</t>
  </si>
  <si>
    <t xml:space="preserve">   Depreciation &amp; amortization</t>
  </si>
  <si>
    <t xml:space="preserve">   Stock-based compensation</t>
  </si>
  <si>
    <t xml:space="preserve">   Deferred income taxes &amp; other non-cash</t>
  </si>
  <si>
    <t xml:space="preserve">   Chg in prepaids &amp; other assets</t>
  </si>
  <si>
    <t xml:space="preserve">   Chg in accrued &amp; other liabilities</t>
  </si>
  <si>
    <t xml:space="preserve">   Chg in unearned fees</t>
  </si>
  <si>
    <t xml:space="preserve">   Cash from operations</t>
  </si>
  <si>
    <t xml:space="preserve">Investing activities</t>
  </si>
  <si>
    <t xml:space="preserve">   Purchases of ST investments</t>
  </si>
  <si>
    <t xml:space="preserve">   Sales &amp; maturities of ST investments</t>
  </si>
  <si>
    <t xml:space="preserve">   Capex &amp; other investing, net</t>
  </si>
  <si>
    <t xml:space="preserve">   Cash from investing</t>
  </si>
  <si>
    <t xml:space="preserve">Financing activities</t>
  </si>
  <si>
    <t xml:space="preserve">   Share repurchases</t>
  </si>
  <si>
    <t xml:space="preserve">   Taxes on equity awards, funds flow &amp; FX, net</t>
  </si>
  <si>
    <t xml:space="preserve">   Cash from financing</t>
  </si>
  <si>
    <t xml:space="preserve">Net change in cash</t>
  </si>
  <si>
    <t xml:space="preserve">Beginning cash</t>
  </si>
  <si>
    <t xml:space="preserve">Ending cash</t>
  </si>
  <si>
    <t xml:space="preserve">DCF Valuation  -  Unlevered Free Cash Flow</t>
  </si>
  <si>
    <t xml:space="preserve">($ in millions, except per share)</t>
  </si>
  <si>
    <t xml:space="preserve">Cost of Capital (WACC)</t>
  </si>
  <si>
    <t xml:space="preserve">Cost of equity</t>
  </si>
  <si>
    <t xml:space="preserve">Tax rate</t>
  </si>
  <si>
    <t xml:space="preserve">After-tax cost of debt</t>
  </si>
  <si>
    <t xml:space="preserve">Market capitalization</t>
  </si>
  <si>
    <t xml:space="preserve">Total debt</t>
  </si>
  <si>
    <t xml:space="preserve">Equity weight</t>
  </si>
  <si>
    <t xml:space="preserve">Debt weight</t>
  </si>
  <si>
    <t xml:space="preserve">WACC</t>
  </si>
  <si>
    <t xml:space="preserve">Unlevered Free Cash Flow</t>
  </si>
  <si>
    <t xml:space="preserve">EBIT</t>
  </si>
  <si>
    <t xml:space="preserve">Less: cash taxes on EBIT</t>
  </si>
  <si>
    <t xml:space="preserve">NOPAT</t>
  </si>
  <si>
    <t xml:space="preserve">Plus: D&amp;A</t>
  </si>
  <si>
    <t xml:space="preserve">Less: capex</t>
  </si>
  <si>
    <t xml:space="preserve">Less: chg in net working capital</t>
  </si>
  <si>
    <t xml:space="preserve">Unlevered free cash flow</t>
  </si>
  <si>
    <t xml:space="preserve">Discount period</t>
  </si>
  <si>
    <t xml:space="preserve">Discount factor</t>
  </si>
  <si>
    <t xml:space="preserve">PV of FCF</t>
  </si>
  <si>
    <t xml:space="preserve">Valuation</t>
  </si>
  <si>
    <t xml:space="preserve">Terminal value (Gordon)</t>
  </si>
  <si>
    <t xml:space="preserve">PV of terminal value</t>
  </si>
  <si>
    <t xml:space="preserve">Sum of PV of FCF</t>
  </si>
  <si>
    <t xml:space="preserve">Enterprise value</t>
  </si>
  <si>
    <t xml:space="preserve">Plus: cash &amp; ST investments</t>
  </si>
  <si>
    <t xml:space="preserve">Less: total debt</t>
  </si>
  <si>
    <t xml:space="preserve">Equity value</t>
  </si>
  <si>
    <t xml:space="preserve">Diluted shares (mm)</t>
  </si>
  <si>
    <t xml:space="preserve">Implied value per share</t>
  </si>
  <si>
    <t xml:space="preserve">Current share price</t>
  </si>
  <si>
    <t xml:space="preserve">Implied upside / (downside)</t>
  </si>
  <si>
    <t xml:space="preserve">Sensitivity: implied share price</t>
  </si>
  <si>
    <t xml:space="preserve">WACC \ 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</si>
</sst>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.0%"/>
    <numFmt numFmtId="167" formatCode="#,##0.0_);\(#,##0.0\)"/>
    <numFmt numFmtId="168" formatCode="#,##0.00_);\(#,##0.00\)"/>
    <numFmt numFmtId="169" formatCode="\$#,##0.00_);&quot;($&quot;#,##0.00\)"/>
    <numFmt numFmtId="170" formatCode="\$#,##0.0_);&quot;($&quot;#,##0.0\)"/>
    <numFmt numFmtId="171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8"/>
      <color rgb="FF0000FF"/>
      <name val="Arial"/>
      <family val="0"/>
      <charset val="1"/>
    </font>
    <font>
      <sz val="8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285840</xdr:colOff>
      <xdr:row>0</xdr:row>
      <xdr:rowOff>114480</xdr:rowOff>
    </xdr:from>
    <xdr:to>
      <xdr:col>9</xdr:col>
      <xdr:colOff>481680</xdr:colOff>
      <xdr:row>40</xdr:row>
      <xdr:rowOff>114120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85840" y="114480"/>
          <a:ext cx="5905080" cy="7619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9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10" min="4" style="0" width="12.5"/>
  </cols>
  <sheetData>
    <row r="2" customFormat="false" ht="16.15" hidden="false" customHeight="false" outlineLevel="0" collapsed="false">
      <c r="B2" s="1" t="s">
        <v>0</v>
      </c>
    </row>
    <row r="4" customFormat="false" ht="9" hidden="false" customHeight="true" outlineLevel="0" collapsed="false">
      <c r="D4" s="2" t="n">
        <v>2023</v>
      </c>
      <c r="E4" s="3" t="n">
        <f aca="false">D4+1</f>
        <v>2024</v>
      </c>
      <c r="F4" s="3" t="n">
        <f aca="false">E4+1</f>
        <v>2025</v>
      </c>
      <c r="G4" s="3" t="n">
        <f aca="false">F4+1</f>
        <v>2026</v>
      </c>
      <c r="H4" s="3" t="n">
        <f aca="false">G4+1</f>
        <v>2027</v>
      </c>
      <c r="I4" s="3" t="n">
        <f aca="false">H4+1</f>
        <v>2028</v>
      </c>
      <c r="J4" s="3" t="n">
        <f aca="false">I4+1</f>
        <v>2029</v>
      </c>
    </row>
    <row r="5" customFormat="false" ht="15" hidden="false" customHeight="false" outlineLevel="0" collapsed="false">
      <c r="C5" s="4" t="s">
        <v>1</v>
      </c>
      <c r="D5" s="5" t="str">
        <f aca="false">"FY"&amp;D4&amp;"A"</f>
        <v>FY2023A</v>
      </c>
      <c r="E5" s="5" t="str">
        <f aca="false">"FY"&amp;E4&amp;"A"</f>
        <v>FY2024A</v>
      </c>
      <c r="F5" s="5" t="str">
        <f aca="false">"FY"&amp;F4&amp;"E"</f>
        <v>FY2025E</v>
      </c>
      <c r="G5" s="5" t="str">
        <f aca="false">"FY"&amp;G4&amp;"E"</f>
        <v>FY2026E</v>
      </c>
      <c r="H5" s="5" t="str">
        <f aca="false">"FY"&amp;H4&amp;"E"</f>
        <v>FY2027E</v>
      </c>
      <c r="I5" s="5" t="str">
        <f aca="false">"FY"&amp;I4&amp;"E"</f>
        <v>FY2028E</v>
      </c>
      <c r="J5" s="5" t="str">
        <f aca="false">"FY"&amp;J4&amp;"E"</f>
        <v>FY2029E</v>
      </c>
    </row>
    <row r="7" customFormat="false" ht="15" hidden="false" customHeight="false" outlineLevel="0" collapsed="false">
      <c r="B7" s="6" t="s">
        <v>2</v>
      </c>
      <c r="D7" s="7" t="s">
        <v>3</v>
      </c>
      <c r="E7" s="7" t="s">
        <v>3</v>
      </c>
      <c r="F7" s="8" t="n">
        <v>0.1</v>
      </c>
      <c r="G7" s="8" t="n">
        <v>0.09</v>
      </c>
      <c r="H7" s="8" t="n">
        <v>0.08</v>
      </c>
      <c r="I7" s="8" t="n">
        <v>0.07</v>
      </c>
      <c r="J7" s="8" t="n">
        <v>0.06</v>
      </c>
    </row>
    <row r="8" customFormat="false" ht="15" hidden="false" customHeight="false" outlineLevel="0" collapsed="false">
      <c r="B8" s="6" t="s">
        <v>4</v>
      </c>
      <c r="D8" s="6"/>
      <c r="E8" s="6"/>
      <c r="F8" s="8" t="n">
        <v>0.165</v>
      </c>
      <c r="G8" s="8" t="n">
        <v>0.163</v>
      </c>
      <c r="H8" s="8" t="n">
        <v>0.162</v>
      </c>
      <c r="I8" s="8" t="n">
        <v>0.16</v>
      </c>
      <c r="J8" s="8" t="n">
        <v>0.16</v>
      </c>
    </row>
    <row r="9" customFormat="false" ht="15" hidden="false" customHeight="false" outlineLevel="0" collapsed="false">
      <c r="B9" s="6" t="s">
        <v>5</v>
      </c>
      <c r="F9" s="8" t="n">
        <v>0.115</v>
      </c>
      <c r="G9" s="8" t="n">
        <v>0.113</v>
      </c>
      <c r="H9" s="8" t="n">
        <v>0.112</v>
      </c>
      <c r="I9" s="8" t="n">
        <v>0.11</v>
      </c>
      <c r="J9" s="8" t="n">
        <v>0.11</v>
      </c>
    </row>
    <row r="10" customFormat="false" ht="15" hidden="false" customHeight="false" outlineLevel="0" collapsed="false">
      <c r="B10" s="6" t="s">
        <v>6</v>
      </c>
      <c r="F10" s="8" t="n">
        <v>0.18</v>
      </c>
      <c r="G10" s="8" t="n">
        <v>0.175</v>
      </c>
      <c r="H10" s="8" t="n">
        <v>0.172</v>
      </c>
      <c r="I10" s="8" t="n">
        <v>0.17</v>
      </c>
      <c r="J10" s="8" t="n">
        <v>0.168</v>
      </c>
    </row>
    <row r="11" customFormat="false" ht="15" hidden="false" customHeight="false" outlineLevel="0" collapsed="false">
      <c r="B11" s="6" t="s">
        <v>7</v>
      </c>
      <c r="F11" s="8" t="n">
        <v>0.19</v>
      </c>
      <c r="G11" s="8" t="n">
        <v>0.188</v>
      </c>
      <c r="H11" s="8" t="n">
        <v>0.185</v>
      </c>
      <c r="I11" s="8" t="n">
        <v>0.183</v>
      </c>
      <c r="J11" s="8" t="n">
        <v>0.18</v>
      </c>
    </row>
    <row r="12" customFormat="false" ht="15" hidden="false" customHeight="false" outlineLevel="0" collapsed="false">
      <c r="B12" s="6" t="s">
        <v>8</v>
      </c>
      <c r="F12" s="8" t="n">
        <v>0.105</v>
      </c>
      <c r="G12" s="8" t="n">
        <v>0.103</v>
      </c>
      <c r="H12" s="8" t="n">
        <v>0.102</v>
      </c>
      <c r="I12" s="8" t="n">
        <v>0.1</v>
      </c>
      <c r="J12" s="8" t="n">
        <v>0.1</v>
      </c>
    </row>
    <row r="14" customFormat="false" ht="15" hidden="false" customHeight="false" outlineLevel="0" collapsed="false">
      <c r="B14" s="6" t="s">
        <v>9</v>
      </c>
      <c r="F14" s="8" t="n">
        <v>0.22</v>
      </c>
      <c r="G14" s="8" t="n">
        <v>0.22</v>
      </c>
      <c r="H14" s="8" t="n">
        <v>0.22</v>
      </c>
      <c r="I14" s="8" t="n">
        <v>0.22</v>
      </c>
      <c r="J14" s="8" t="n">
        <v>0.22</v>
      </c>
    </row>
    <row r="15" customFormat="false" ht="15" hidden="false" customHeight="false" outlineLevel="0" collapsed="false">
      <c r="B15" s="6" t="s">
        <v>10</v>
      </c>
      <c r="F15" s="8" t="n">
        <v>0.04</v>
      </c>
      <c r="G15" s="8" t="n">
        <v>0.04</v>
      </c>
      <c r="H15" s="8" t="n">
        <v>0.038</v>
      </c>
      <c r="I15" s="8" t="n">
        <v>0.038</v>
      </c>
      <c r="J15" s="8" t="n">
        <v>0.038</v>
      </c>
    </row>
    <row r="16" customFormat="false" ht="15" hidden="false" customHeight="false" outlineLevel="0" collapsed="false">
      <c r="B16" s="6" t="s">
        <v>11</v>
      </c>
      <c r="F16" s="9" t="n">
        <v>-40</v>
      </c>
      <c r="G16" s="9" t="n">
        <v>-40</v>
      </c>
      <c r="H16" s="9" t="n">
        <v>-40</v>
      </c>
      <c r="I16" s="9" t="n">
        <v>-40</v>
      </c>
      <c r="J16" s="9" t="n">
        <v>-40</v>
      </c>
    </row>
    <row r="18" customFormat="false" ht="15" hidden="false" customHeight="false" outlineLevel="0" collapsed="false">
      <c r="B18" s="6" t="s">
        <v>12</v>
      </c>
      <c r="F18" s="8" t="n">
        <v>0.005</v>
      </c>
      <c r="G18" s="8" t="n">
        <v>0.005</v>
      </c>
      <c r="H18" s="8" t="n">
        <v>0.005</v>
      </c>
      <c r="I18" s="8" t="n">
        <v>0.005</v>
      </c>
      <c r="J18" s="8" t="n">
        <v>0.005</v>
      </c>
    </row>
    <row r="19" customFormat="false" ht="15" hidden="false" customHeight="false" outlineLevel="0" collapsed="false">
      <c r="B19" s="6" t="s">
        <v>13</v>
      </c>
      <c r="F19" s="8" t="n">
        <v>0.004</v>
      </c>
      <c r="G19" s="8" t="n">
        <v>0.004</v>
      </c>
      <c r="H19" s="8" t="n">
        <v>0.004</v>
      </c>
      <c r="I19" s="8" t="n">
        <v>0.004</v>
      </c>
      <c r="J19" s="8" t="n">
        <v>0.004</v>
      </c>
    </row>
    <row r="20" customFormat="false" ht="15" hidden="false" customHeight="false" outlineLevel="0" collapsed="false">
      <c r="B20" s="6" t="s">
        <v>14</v>
      </c>
      <c r="F20" s="8" t="n">
        <v>0.12</v>
      </c>
      <c r="G20" s="8" t="n">
        <v>0.115</v>
      </c>
      <c r="H20" s="8" t="n">
        <v>0.11</v>
      </c>
      <c r="I20" s="8" t="n">
        <v>0.105</v>
      </c>
      <c r="J20" s="8" t="n">
        <v>0.1</v>
      </c>
    </row>
    <row r="22" customFormat="false" ht="15" hidden="false" customHeight="false" outlineLevel="0" collapsed="false">
      <c r="B22" s="10" t="s">
        <v>15</v>
      </c>
    </row>
    <row r="23" customFormat="false" ht="15" hidden="false" customHeight="false" outlineLevel="0" collapsed="false">
      <c r="B23" s="6" t="s">
        <v>16</v>
      </c>
      <c r="F23" s="8" t="n">
        <v>0.057</v>
      </c>
      <c r="G23" s="8" t="n">
        <v>0.057</v>
      </c>
      <c r="H23" s="8" t="n">
        <v>0.057</v>
      </c>
      <c r="I23" s="8" t="n">
        <v>0.057</v>
      </c>
      <c r="J23" s="8" t="n">
        <v>0.057</v>
      </c>
    </row>
    <row r="24" customFormat="false" ht="15" hidden="false" customHeight="false" outlineLevel="0" collapsed="false">
      <c r="B24" s="6" t="s">
        <v>17</v>
      </c>
      <c r="F24" s="8" t="n">
        <v>0.235</v>
      </c>
      <c r="G24" s="8" t="n">
        <v>0.235</v>
      </c>
      <c r="H24" s="8" t="n">
        <v>0.235</v>
      </c>
      <c r="I24" s="8" t="n">
        <v>0.235</v>
      </c>
      <c r="J24" s="8" t="n">
        <v>0.235</v>
      </c>
    </row>
    <row r="25" customFormat="false" ht="15" hidden="false" customHeight="false" outlineLevel="0" collapsed="false">
      <c r="B25" s="6" t="s">
        <v>18</v>
      </c>
      <c r="F25" s="8" t="n">
        <v>0.145</v>
      </c>
      <c r="G25" s="8" t="n">
        <v>0.145</v>
      </c>
      <c r="H25" s="8" t="n">
        <v>0.145</v>
      </c>
      <c r="I25" s="8" t="n">
        <v>0.145</v>
      </c>
      <c r="J25" s="8" t="n">
        <v>0.145</v>
      </c>
    </row>
    <row r="27" customFormat="false" ht="15" hidden="false" customHeight="false" outlineLevel="0" collapsed="false">
      <c r="B27" s="10" t="s">
        <v>19</v>
      </c>
    </row>
    <row r="28" customFormat="false" ht="15" hidden="false" customHeight="false" outlineLevel="0" collapsed="false">
      <c r="B28" s="6" t="s">
        <v>20</v>
      </c>
      <c r="D28" s="8" t="n">
        <v>0.043</v>
      </c>
    </row>
    <row r="29" customFormat="false" ht="15" hidden="false" customHeight="false" outlineLevel="0" collapsed="false">
      <c r="B29" s="6" t="s">
        <v>21</v>
      </c>
      <c r="D29" s="8" t="n">
        <v>0.05</v>
      </c>
    </row>
    <row r="30" customFormat="false" ht="15" hidden="false" customHeight="false" outlineLevel="0" collapsed="false">
      <c r="B30" s="6" t="s">
        <v>22</v>
      </c>
      <c r="D30" s="11" t="n">
        <v>1.25</v>
      </c>
    </row>
    <row r="31" customFormat="false" ht="15" hidden="false" customHeight="false" outlineLevel="0" collapsed="false">
      <c r="B31" s="6" t="s">
        <v>23</v>
      </c>
      <c r="D31" s="8" t="n">
        <v>0.05</v>
      </c>
    </row>
    <row r="32" customFormat="false" ht="15" hidden="false" customHeight="false" outlineLevel="0" collapsed="false">
      <c r="B32" s="6" t="s">
        <v>24</v>
      </c>
      <c r="D32" s="8" t="n">
        <v>0.03</v>
      </c>
    </row>
    <row r="33" customFormat="false" ht="15" hidden="false" customHeight="false" outlineLevel="0" collapsed="false">
      <c r="B33" s="6" t="s">
        <v>25</v>
      </c>
      <c r="D33" s="12" t="n">
        <v>126</v>
      </c>
    </row>
    <row r="34" customFormat="false" ht="15" hidden="false" customHeight="false" outlineLevel="0" collapsed="false">
      <c r="B34" s="6" t="s">
        <v>26</v>
      </c>
      <c r="D34" s="9" t="n">
        <v>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10" min="4" style="0" width="12.5"/>
  </cols>
  <sheetData>
    <row r="2" customFormat="false" ht="16.15" hidden="false" customHeight="false" outlineLevel="0" collapsed="false">
      <c r="B2" s="1" t="s">
        <v>27</v>
      </c>
    </row>
    <row r="4" customFormat="false" ht="9" hidden="false" customHeight="true" outlineLevel="0" collapsed="false">
      <c r="D4" s="2" t="n">
        <v>2023</v>
      </c>
      <c r="E4" s="3" t="n">
        <f aca="false">D4+1</f>
        <v>2024</v>
      </c>
      <c r="F4" s="3" t="n">
        <f aca="false">E4+1</f>
        <v>2025</v>
      </c>
      <c r="G4" s="3" t="n">
        <f aca="false">F4+1</f>
        <v>2026</v>
      </c>
      <c r="H4" s="3" t="n">
        <f aca="false">G4+1</f>
        <v>2027</v>
      </c>
      <c r="I4" s="3" t="n">
        <f aca="false">H4+1</f>
        <v>2028</v>
      </c>
      <c r="J4" s="3" t="n">
        <f aca="false">I4+1</f>
        <v>2029</v>
      </c>
    </row>
    <row r="5" customFormat="false" ht="15" hidden="false" customHeight="false" outlineLevel="0" collapsed="false">
      <c r="C5" s="4" t="s">
        <v>1</v>
      </c>
      <c r="D5" s="5" t="str">
        <f aca="false">"FY"&amp;D4&amp;"A"</f>
        <v>FY2023A</v>
      </c>
      <c r="E5" s="5" t="str">
        <f aca="false">"FY"&amp;E4&amp;"A"</f>
        <v>FY2024A</v>
      </c>
      <c r="F5" s="5" t="str">
        <f aca="false">"FY"&amp;F4&amp;"E"</f>
        <v>FY2025E</v>
      </c>
      <c r="G5" s="5" t="str">
        <f aca="false">"FY"&amp;G4&amp;"E"</f>
        <v>FY2026E</v>
      </c>
      <c r="H5" s="5" t="str">
        <f aca="false">"FY"&amp;H4&amp;"E"</f>
        <v>FY2027E</v>
      </c>
      <c r="I5" s="5" t="str">
        <f aca="false">"FY"&amp;I4&amp;"E"</f>
        <v>FY2028E</v>
      </c>
      <c r="J5" s="5" t="str">
        <f aca="false">"FY"&amp;J4&amp;"E"</f>
        <v>FY2029E</v>
      </c>
    </row>
    <row r="7" customFormat="false" ht="15" hidden="false" customHeight="false" outlineLevel="0" collapsed="false">
      <c r="B7" s="10" t="s">
        <v>28</v>
      </c>
      <c r="D7" s="13" t="n">
        <v>9917</v>
      </c>
      <c r="E7" s="13" t="n">
        <v>11102</v>
      </c>
      <c r="F7" s="14" t="n">
        <f aca="false">E7*(1+Drivers!F7)</f>
        <v>12212.2</v>
      </c>
      <c r="G7" s="14" t="n">
        <f aca="false">F7*(1+Drivers!G7)</f>
        <v>13311.298</v>
      </c>
      <c r="H7" s="14" t="n">
        <f aca="false">G7*(1+Drivers!H7)</f>
        <v>14376.20184</v>
      </c>
      <c r="I7" s="14" t="n">
        <f aca="false">H7*(1+Drivers!I7)</f>
        <v>15382.5359688</v>
      </c>
      <c r="J7" s="14" t="n">
        <f aca="false">I7*(1+Drivers!J7)</f>
        <v>16305.488126928</v>
      </c>
    </row>
    <row r="8" customFormat="false" ht="15" hidden="false" customHeight="false" outlineLevel="0" collapsed="false">
      <c r="B8" s="6" t="s">
        <v>29</v>
      </c>
      <c r="D8" s="9" t="n">
        <v>1703</v>
      </c>
      <c r="E8" s="9" t="n">
        <v>1878</v>
      </c>
      <c r="F8" s="15" t="n">
        <f aca="false">F7*Drivers!F8</f>
        <v>2015.013</v>
      </c>
      <c r="G8" s="15" t="n">
        <f aca="false">G7*Drivers!G8</f>
        <v>2169.741574</v>
      </c>
      <c r="H8" s="15" t="n">
        <f aca="false">H7*Drivers!H8</f>
        <v>2328.94469808</v>
      </c>
      <c r="I8" s="15" t="n">
        <f aca="false">I7*Drivers!I8</f>
        <v>2461.205755008</v>
      </c>
      <c r="J8" s="15" t="n">
        <f aca="false">J7*Drivers!J8</f>
        <v>2608.87810030848</v>
      </c>
    </row>
    <row r="9" customFormat="false" ht="15" hidden="false" customHeight="false" outlineLevel="0" collapsed="false">
      <c r="B9" s="6" t="s">
        <v>30</v>
      </c>
      <c r="D9" s="9" t="n">
        <v>1186</v>
      </c>
      <c r="E9" s="9" t="n">
        <v>1282</v>
      </c>
      <c r="F9" s="15" t="n">
        <f aca="false">F7*Drivers!F9</f>
        <v>1404.403</v>
      </c>
      <c r="G9" s="15" t="n">
        <f aca="false">G7*Drivers!G9</f>
        <v>1504.176674</v>
      </c>
      <c r="H9" s="15" t="n">
        <f aca="false">H7*Drivers!H9</f>
        <v>1610.13460608</v>
      </c>
      <c r="I9" s="15" t="n">
        <f aca="false">I7*Drivers!I9</f>
        <v>1692.078956568</v>
      </c>
      <c r="J9" s="15" t="n">
        <f aca="false">J7*Drivers!J9</f>
        <v>1793.60369396208</v>
      </c>
    </row>
    <row r="10" customFormat="false" ht="15" hidden="false" customHeight="false" outlineLevel="0" collapsed="false">
      <c r="B10" s="6" t="s">
        <v>31</v>
      </c>
      <c r="D10" s="9" t="n">
        <v>1722</v>
      </c>
      <c r="E10" s="9" t="n">
        <v>2056</v>
      </c>
      <c r="F10" s="15" t="n">
        <f aca="false">F7*Drivers!F10</f>
        <v>2198.196</v>
      </c>
      <c r="G10" s="15" t="n">
        <f aca="false">G7*Drivers!G10</f>
        <v>2329.47715</v>
      </c>
      <c r="H10" s="15" t="n">
        <f aca="false">H7*Drivers!H10</f>
        <v>2472.70671648</v>
      </c>
      <c r="I10" s="15" t="n">
        <f aca="false">I7*Drivers!I10</f>
        <v>2615.031114696</v>
      </c>
      <c r="J10" s="15" t="n">
        <f aca="false">J7*Drivers!J10</f>
        <v>2739.32200532391</v>
      </c>
    </row>
    <row r="11" customFormat="false" ht="15" hidden="false" customHeight="false" outlineLevel="0" collapsed="false">
      <c r="B11" s="6" t="s">
        <v>32</v>
      </c>
      <c r="D11" s="9" t="n">
        <v>1763</v>
      </c>
      <c r="E11" s="9" t="n">
        <v>2148</v>
      </c>
      <c r="F11" s="15" t="n">
        <f aca="false">F7*Drivers!F11</f>
        <v>2320.318</v>
      </c>
      <c r="G11" s="15" t="n">
        <f aca="false">G7*Drivers!G11</f>
        <v>2502.524024</v>
      </c>
      <c r="H11" s="15" t="n">
        <f aca="false">H7*Drivers!H11</f>
        <v>2659.5973404</v>
      </c>
      <c r="I11" s="15" t="n">
        <f aca="false">I7*Drivers!I11</f>
        <v>2815.0040822904</v>
      </c>
      <c r="J11" s="15" t="n">
        <f aca="false">J7*Drivers!J11</f>
        <v>2934.98786284704</v>
      </c>
    </row>
    <row r="12" customFormat="false" ht="15" hidden="false" customHeight="false" outlineLevel="0" collapsed="false">
      <c r="B12" s="6" t="s">
        <v>33</v>
      </c>
      <c r="D12" s="9" t="n">
        <v>2025</v>
      </c>
      <c r="E12" s="9" t="n">
        <v>1185</v>
      </c>
      <c r="F12" s="15" t="n">
        <f aca="false">F7*Drivers!F12</f>
        <v>1282.281</v>
      </c>
      <c r="G12" s="15" t="n">
        <f aca="false">G7*Drivers!G12</f>
        <v>1371.063694</v>
      </c>
      <c r="H12" s="15" t="n">
        <f aca="false">H7*Drivers!H12</f>
        <v>1466.37258768</v>
      </c>
      <c r="I12" s="15" t="n">
        <f aca="false">I7*Drivers!I12</f>
        <v>1538.25359688</v>
      </c>
      <c r="J12" s="15" t="n">
        <f aca="false">J7*Drivers!J12</f>
        <v>1630.5488126928</v>
      </c>
    </row>
    <row r="13" customFormat="false" ht="15" hidden="false" customHeight="false" outlineLevel="0" collapsed="false">
      <c r="B13" s="6" t="s">
        <v>34</v>
      </c>
      <c r="D13" s="16" t="n">
        <f aca="false">SUM(D8:D12)</f>
        <v>8399</v>
      </c>
      <c r="E13" s="16" t="n">
        <f aca="false">SUM(E8:E12)</f>
        <v>8549</v>
      </c>
      <c r="F13" s="16" t="n">
        <f aca="false">SUM(F8:F12)</f>
        <v>9220.211</v>
      </c>
      <c r="G13" s="16" t="n">
        <f aca="false">SUM(G8:G12)</f>
        <v>9876.983116</v>
      </c>
      <c r="H13" s="16" t="n">
        <f aca="false">SUM(H8:H12)</f>
        <v>10537.75594872</v>
      </c>
      <c r="I13" s="16" t="n">
        <f aca="false">SUM(I8:I12)</f>
        <v>11121.5735054424</v>
      </c>
      <c r="J13" s="16" t="n">
        <f aca="false">SUM(J8:J12)</f>
        <v>11707.3404751343</v>
      </c>
    </row>
    <row r="14" customFormat="false" ht="15" hidden="false" customHeight="false" outlineLevel="0" collapsed="false">
      <c r="B14" s="10" t="s">
        <v>35</v>
      </c>
      <c r="D14" s="17" t="n">
        <f aca="false">D7-D13</f>
        <v>1518</v>
      </c>
      <c r="E14" s="17" t="n">
        <f aca="false">E7-E13</f>
        <v>2553</v>
      </c>
      <c r="F14" s="17" t="n">
        <f aca="false">F7-F13</f>
        <v>2991.989</v>
      </c>
      <c r="G14" s="17" t="n">
        <f aca="false">G7-G13</f>
        <v>3434.314884</v>
      </c>
      <c r="H14" s="17" t="n">
        <f aca="false">H7-H13</f>
        <v>3838.44589128</v>
      </c>
      <c r="I14" s="17" t="n">
        <f aca="false">I7-I13</f>
        <v>4260.9624633576</v>
      </c>
      <c r="J14" s="17" t="n">
        <f aca="false">J7-J13</f>
        <v>4598.1476517937</v>
      </c>
    </row>
    <row r="16" customFormat="false" ht="15" hidden="false" customHeight="false" outlineLevel="0" collapsed="false">
      <c r="B16" s="6" t="s">
        <v>36</v>
      </c>
      <c r="D16" s="9" t="n">
        <v>721</v>
      </c>
      <c r="E16" s="9" t="n">
        <v>818</v>
      </c>
      <c r="F16" s="15" t="n">
        <f aca="false">Drivers!F15*('Balance Sheet'!E8+'Balance Sheet'!E9)</f>
        <v>424.44</v>
      </c>
      <c r="G16" s="15" t="n">
        <f aca="false">Drivers!G15*('Balance Sheet'!F8+'Balance Sheet'!F9)</f>
        <v>602.9932568</v>
      </c>
      <c r="H16" s="15" t="n">
        <f aca="false">Drivers!H15*('Balance Sheet'!G8+'Balance Sheet'!G9)</f>
        <v>763.490337689312</v>
      </c>
      <c r="I16" s="15" t="n">
        <f aca="false">Drivers!I15*('Balance Sheet'!H8+'Balance Sheet'!H9)</f>
        <v>972.415576609243</v>
      </c>
      <c r="J16" s="15" t="n">
        <f aca="false">Drivers!J15*('Balance Sheet'!I8+'Balance Sheet'!I9)</f>
        <v>1200.65990169308</v>
      </c>
    </row>
    <row r="17" customFormat="false" ht="15" hidden="false" customHeight="false" outlineLevel="0" collapsed="false">
      <c r="B17" s="6" t="s">
        <v>37</v>
      </c>
      <c r="D17" s="9" t="n">
        <v>-83</v>
      </c>
      <c r="E17" s="9" t="n">
        <v>0</v>
      </c>
      <c r="F17" s="15" t="n">
        <f aca="false">-Drivers!F31*'Balance Sheet'!E23</f>
        <v>-0</v>
      </c>
      <c r="G17" s="15" t="n">
        <f aca="false">-Drivers!G31*'Balance Sheet'!F23</f>
        <v>-0</v>
      </c>
      <c r="H17" s="15" t="n">
        <f aca="false">-Drivers!H31*'Balance Sheet'!G23</f>
        <v>-0</v>
      </c>
      <c r="I17" s="15" t="n">
        <f aca="false">-Drivers!I31*'Balance Sheet'!H23</f>
        <v>-0</v>
      </c>
      <c r="J17" s="15" t="n">
        <f aca="false">-Drivers!J31*'Balance Sheet'!I23</f>
        <v>-0</v>
      </c>
    </row>
    <row r="18" customFormat="false" ht="15" hidden="false" customHeight="false" outlineLevel="0" collapsed="false">
      <c r="B18" s="6" t="s">
        <v>38</v>
      </c>
      <c r="D18" s="9" t="n">
        <v>-54</v>
      </c>
      <c r="E18" s="9" t="n">
        <v>-40</v>
      </c>
      <c r="F18" s="15" t="n">
        <f aca="false">Drivers!F16</f>
        <v>-40</v>
      </c>
      <c r="G18" s="15" t="n">
        <f aca="false">Drivers!G16</f>
        <v>-40</v>
      </c>
      <c r="H18" s="15" t="n">
        <f aca="false">Drivers!H16</f>
        <v>-40</v>
      </c>
      <c r="I18" s="15" t="n">
        <f aca="false">Drivers!I16</f>
        <v>-40</v>
      </c>
      <c r="J18" s="15" t="n">
        <f aca="false">Drivers!J16</f>
        <v>-40</v>
      </c>
    </row>
    <row r="19" customFormat="false" ht="15" hidden="false" customHeight="false" outlineLevel="0" collapsed="false">
      <c r="B19" s="10" t="s">
        <v>39</v>
      </c>
      <c r="D19" s="18" t="n">
        <f aca="false">D14+D16+D17+D18</f>
        <v>2102</v>
      </c>
      <c r="E19" s="18" t="n">
        <f aca="false">E14+E16+E17+E18</f>
        <v>3331</v>
      </c>
      <c r="F19" s="18" t="n">
        <f aca="false">F14+F16+F17+F18</f>
        <v>3376.429</v>
      </c>
      <c r="G19" s="18" t="n">
        <f aca="false">G14+G16+G17+G18</f>
        <v>3997.3081408</v>
      </c>
      <c r="H19" s="18" t="n">
        <f aca="false">H14+H16+H17+H18</f>
        <v>4561.93622896931</v>
      </c>
      <c r="I19" s="18" t="n">
        <f aca="false">I14+I16+I17+I18</f>
        <v>5193.37803996685</v>
      </c>
      <c r="J19" s="18" t="n">
        <f aca="false">J14+J16+J17+J18</f>
        <v>5758.80755348678</v>
      </c>
    </row>
    <row r="20" customFormat="false" ht="15" hidden="false" customHeight="false" outlineLevel="0" collapsed="false">
      <c r="B20" s="6" t="s">
        <v>40</v>
      </c>
      <c r="D20" s="9" t="n">
        <v>2690</v>
      </c>
      <c r="E20" s="9" t="n">
        <v>-683</v>
      </c>
      <c r="F20" s="15" t="n">
        <f aca="false">-F19*Drivers!F14</f>
        <v>-742.81438</v>
      </c>
      <c r="G20" s="15" t="n">
        <f aca="false">-G19*Drivers!G14</f>
        <v>-879.407790976</v>
      </c>
      <c r="H20" s="15" t="n">
        <f aca="false">-H19*Drivers!H14</f>
        <v>-1003.62597037325</v>
      </c>
      <c r="I20" s="15" t="n">
        <f aca="false">-I19*Drivers!I14</f>
        <v>-1142.54316879271</v>
      </c>
      <c r="J20" s="15" t="n">
        <f aca="false">-J19*Drivers!J14</f>
        <v>-1266.93766176709</v>
      </c>
    </row>
    <row r="21" customFormat="false" ht="15" hidden="false" customHeight="false" outlineLevel="0" collapsed="false">
      <c r="B21" s="10" t="s">
        <v>41</v>
      </c>
      <c r="D21" s="19" t="n">
        <f aca="false">D19+D20</f>
        <v>4792</v>
      </c>
      <c r="E21" s="19" t="n">
        <f aca="false">E19+E20</f>
        <v>2648</v>
      </c>
      <c r="F21" s="19" t="n">
        <f aca="false">F19+F20</f>
        <v>2633.61462</v>
      </c>
      <c r="G21" s="19" t="n">
        <f aca="false">G19+G20</f>
        <v>3117.900349824</v>
      </c>
      <c r="H21" s="19" t="n">
        <f aca="false">H19+H20</f>
        <v>3558.31025859606</v>
      </c>
      <c r="I21" s="19" t="n">
        <f aca="false">I19+I20</f>
        <v>4050.83487117414</v>
      </c>
      <c r="J21" s="19" t="n">
        <f aca="false">J19+J20</f>
        <v>4491.86989171968</v>
      </c>
    </row>
    <row r="23" customFormat="false" ht="15" hidden="false" customHeight="false" outlineLevel="0" collapsed="false">
      <c r="B23" s="6" t="s">
        <v>42</v>
      </c>
      <c r="D23" s="20" t="n">
        <f aca="false">D14/D7</f>
        <v>0.153070485025713</v>
      </c>
      <c r="E23" s="20" t="n">
        <f aca="false">E14/E7</f>
        <v>0.22995856602414</v>
      </c>
      <c r="F23" s="20" t="n">
        <f aca="false">F14/F7</f>
        <v>0.245</v>
      </c>
      <c r="G23" s="20" t="n">
        <f aca="false">G14/G7</f>
        <v>0.258</v>
      </c>
      <c r="H23" s="20" t="n">
        <f aca="false">H14/H7</f>
        <v>0.267</v>
      </c>
      <c r="I23" s="20" t="n">
        <f aca="false">I14/I7</f>
        <v>0.277</v>
      </c>
      <c r="J23" s="20" t="n">
        <f aca="false">J14/J7</f>
        <v>0.282</v>
      </c>
    </row>
    <row r="24" customFormat="false" ht="15" hidden="false" customHeight="false" outlineLevel="0" collapsed="false">
      <c r="B24" s="6" t="s">
        <v>43</v>
      </c>
      <c r="D24" s="20" t="n">
        <f aca="false">D21/D7</f>
        <v>0.483210648381567</v>
      </c>
      <c r="E24" s="20" t="n">
        <f aca="false">E21/E7</f>
        <v>0.238515582777878</v>
      </c>
      <c r="F24" s="20" t="n">
        <f aca="false">F21/F7</f>
        <v>0.215654396423249</v>
      </c>
      <c r="G24" s="20" t="n">
        <f aca="false">G21/G7</f>
        <v>0.234229625827925</v>
      </c>
      <c r="H24" s="20" t="n">
        <f aca="false">H21/H7</f>
        <v>0.247513932970495</v>
      </c>
      <c r="I24" s="20" t="n">
        <f aca="false">I21/I7</f>
        <v>0.263339860175874</v>
      </c>
      <c r="J24" s="20" t="n">
        <f aca="false">J21/J7</f>
        <v>0.275482086568234</v>
      </c>
    </row>
    <row r="25" customFormat="false" ht="15" hidden="false" customHeight="false" outlineLevel="0" collapsed="false">
      <c r="B25" s="6" t="s">
        <v>44</v>
      </c>
      <c r="D25" s="7" t="s">
        <v>3</v>
      </c>
      <c r="E25" s="20" t="n">
        <f aca="false">E7/D7-1</f>
        <v>0.119491781788847</v>
      </c>
      <c r="F25" s="20" t="n">
        <f aca="false">F7/E7-1</f>
        <v>0.1</v>
      </c>
      <c r="G25" s="20" t="n">
        <f aca="false">G7/F7-1</f>
        <v>0.0900000000000001</v>
      </c>
      <c r="H25" s="20" t="n">
        <f aca="false">H7/G7-1</f>
        <v>0.0800000000000001</v>
      </c>
      <c r="I25" s="20" t="n">
        <f aca="false">I7/H7-1</f>
        <v>0.0700000000000001</v>
      </c>
      <c r="J25" s="20" t="n">
        <f aca="false">J7/I7-1</f>
        <v>0.0600000000000001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10" min="4" style="0" width="12.5"/>
  </cols>
  <sheetData>
    <row r="2" customFormat="false" ht="16.15" hidden="false" customHeight="false" outlineLevel="0" collapsed="false">
      <c r="B2" s="1" t="s">
        <v>45</v>
      </c>
    </row>
    <row r="4" customFormat="false" ht="9" hidden="false" customHeight="true" outlineLevel="0" collapsed="false">
      <c r="D4" s="2" t="n">
        <v>2023</v>
      </c>
      <c r="E4" s="3" t="n">
        <f aca="false">D4+1</f>
        <v>2024</v>
      </c>
      <c r="F4" s="3" t="n">
        <f aca="false">E4+1</f>
        <v>2025</v>
      </c>
      <c r="G4" s="3" t="n">
        <f aca="false">F4+1</f>
        <v>2026</v>
      </c>
      <c r="H4" s="3" t="n">
        <f aca="false">G4+1</f>
        <v>2027</v>
      </c>
      <c r="I4" s="3" t="n">
        <f aca="false">H4+1</f>
        <v>2028</v>
      </c>
      <c r="J4" s="3" t="n">
        <f aca="false">I4+1</f>
        <v>2029</v>
      </c>
    </row>
    <row r="5" customFormat="false" ht="15" hidden="false" customHeight="false" outlineLevel="0" collapsed="false">
      <c r="C5" s="4" t="s">
        <v>1</v>
      </c>
      <c r="D5" s="5" t="str">
        <f aca="false">"FY"&amp;D4&amp;"A"</f>
        <v>FY2023A</v>
      </c>
      <c r="E5" s="5" t="str">
        <f aca="false">"FY"&amp;E4&amp;"A"</f>
        <v>FY2024A</v>
      </c>
      <c r="F5" s="5" t="str">
        <f aca="false">"FY"&amp;F4&amp;"E"</f>
        <v>FY2025E</v>
      </c>
      <c r="G5" s="5" t="str">
        <f aca="false">"FY"&amp;G4&amp;"E"</f>
        <v>FY2026E</v>
      </c>
      <c r="H5" s="5" t="str">
        <f aca="false">"FY"&amp;H4&amp;"E"</f>
        <v>FY2027E</v>
      </c>
      <c r="I5" s="5" t="str">
        <f aca="false">"FY"&amp;I4&amp;"E"</f>
        <v>FY2028E</v>
      </c>
      <c r="J5" s="5" t="str">
        <f aca="false">"FY"&amp;J4&amp;"E"</f>
        <v>FY2029E</v>
      </c>
    </row>
    <row r="7" customFormat="false" ht="15" hidden="false" customHeight="false" outlineLevel="0" collapsed="false">
      <c r="B7" s="21" t="s">
        <v>46</v>
      </c>
    </row>
    <row r="8" customFormat="false" ht="15" hidden="false" customHeight="false" outlineLevel="0" collapsed="false">
      <c r="B8" s="6" t="s">
        <v>47</v>
      </c>
      <c r="D8" s="13" t="n">
        <v>6874</v>
      </c>
      <c r="E8" s="13" t="n">
        <v>6864</v>
      </c>
      <c r="F8" s="22" t="n">
        <f aca="false">'Cash Flow'!F30</f>
        <v>11327.83142</v>
      </c>
      <c r="G8" s="22" t="n">
        <f aca="false">'Cash Flow'!G30</f>
        <v>16344.850991824</v>
      </c>
      <c r="H8" s="22" t="n">
        <f aca="false">'Cash Flow'!H30</f>
        <v>21842.8835949801</v>
      </c>
      <c r="I8" s="22" t="n">
        <f aca="false">'Cash Flow'!I30</f>
        <v>27849.3132024494</v>
      </c>
      <c r="J8" s="22" t="n">
        <f aca="false">'Cash Flow'!J30</f>
        <v>34286.1509420642</v>
      </c>
    </row>
    <row r="9" customFormat="false" ht="15" hidden="false" customHeight="false" outlineLevel="0" collapsed="false">
      <c r="B9" s="6" t="s">
        <v>48</v>
      </c>
      <c r="D9" s="9" t="n">
        <v>3197</v>
      </c>
      <c r="E9" s="9" t="n">
        <v>3747</v>
      </c>
      <c r="F9" s="15" t="n">
        <f aca="false">E9</f>
        <v>3747</v>
      </c>
      <c r="G9" s="15" t="n">
        <f aca="false">F9</f>
        <v>3747</v>
      </c>
      <c r="H9" s="15" t="n">
        <f aca="false">G9</f>
        <v>3747</v>
      </c>
      <c r="I9" s="15" t="n">
        <f aca="false">H9</f>
        <v>3747</v>
      </c>
      <c r="J9" s="15" t="n">
        <f aca="false">I9</f>
        <v>3747</v>
      </c>
    </row>
    <row r="10" customFormat="false" ht="15" hidden="false" customHeight="false" outlineLevel="0" collapsed="false">
      <c r="B10" s="6" t="s">
        <v>49</v>
      </c>
      <c r="D10" s="9" t="n">
        <v>5869</v>
      </c>
      <c r="E10" s="9" t="n">
        <v>5931</v>
      </c>
      <c r="F10" s="15" t="n">
        <f aca="false">E10</f>
        <v>5931</v>
      </c>
      <c r="G10" s="15" t="n">
        <f aca="false">F10</f>
        <v>5931</v>
      </c>
      <c r="H10" s="15" t="n">
        <f aca="false">G10</f>
        <v>5931</v>
      </c>
      <c r="I10" s="15" t="n">
        <f aca="false">H10</f>
        <v>5931</v>
      </c>
      <c r="J10" s="15" t="n">
        <f aca="false">I10</f>
        <v>5931</v>
      </c>
    </row>
    <row r="11" customFormat="false" ht="15" hidden="false" customHeight="false" outlineLevel="0" collapsed="false">
      <c r="B11" s="6" t="s">
        <v>50</v>
      </c>
      <c r="D11" s="9" t="n">
        <v>569</v>
      </c>
      <c r="E11" s="9" t="n">
        <v>638</v>
      </c>
      <c r="F11" s="15" t="n">
        <f aca="false">'Income Statement'!F7*Drivers!F23</f>
        <v>696.0954</v>
      </c>
      <c r="G11" s="15" t="n">
        <f aca="false">'Income Statement'!G7*Drivers!G23</f>
        <v>758.743986</v>
      </c>
      <c r="H11" s="15" t="n">
        <f aca="false">'Income Statement'!H7*Drivers!H23</f>
        <v>819.44350488</v>
      </c>
      <c r="I11" s="15" t="n">
        <f aca="false">'Income Statement'!I7*Drivers!I23</f>
        <v>876.8045502216</v>
      </c>
      <c r="J11" s="15" t="n">
        <f aca="false">'Income Statement'!J7*Drivers!J23</f>
        <v>929.412823234896</v>
      </c>
    </row>
    <row r="12" customFormat="false" ht="15" hidden="false" customHeight="false" outlineLevel="0" collapsed="false">
      <c r="B12" s="10" t="s">
        <v>51</v>
      </c>
      <c r="D12" s="16" t="n">
        <f aca="false">SUM(D8:D11)</f>
        <v>16509</v>
      </c>
      <c r="E12" s="16" t="n">
        <f aca="false">SUM(E8:E11)</f>
        <v>17180</v>
      </c>
      <c r="F12" s="16" t="n">
        <f aca="false">SUM(F8:F11)</f>
        <v>21701.92682</v>
      </c>
      <c r="G12" s="16" t="n">
        <f aca="false">SUM(G8:G11)</f>
        <v>26781.594977824</v>
      </c>
      <c r="H12" s="16" t="n">
        <f aca="false">SUM(H8:H11)</f>
        <v>32340.3270998601</v>
      </c>
      <c r="I12" s="16" t="n">
        <f aca="false">SUM(I8:I11)</f>
        <v>38404.117752671</v>
      </c>
      <c r="J12" s="16" t="n">
        <f aca="false">SUM(J8:J11)</f>
        <v>44893.5637652991</v>
      </c>
    </row>
    <row r="13" customFormat="false" ht="15" hidden="false" customHeight="false" outlineLevel="0" collapsed="false">
      <c r="B13" s="6" t="s">
        <v>52</v>
      </c>
      <c r="D13" s="9" t="n">
        <v>2881</v>
      </c>
      <c r="E13" s="9" t="n">
        <v>2439</v>
      </c>
      <c r="F13" s="15" t="n">
        <f aca="false">E13</f>
        <v>2439</v>
      </c>
      <c r="G13" s="15" t="n">
        <f aca="false">F13</f>
        <v>2439</v>
      </c>
      <c r="H13" s="15" t="n">
        <f aca="false">G13</f>
        <v>2439</v>
      </c>
      <c r="I13" s="15" t="n">
        <f aca="false">H13</f>
        <v>2439</v>
      </c>
      <c r="J13" s="15" t="n">
        <f aca="false">I13</f>
        <v>2439</v>
      </c>
    </row>
    <row r="14" customFormat="false" ht="15" hidden="false" customHeight="false" outlineLevel="0" collapsed="false">
      <c r="B14" s="6" t="s">
        <v>53</v>
      </c>
      <c r="D14" s="9" t="n">
        <v>792</v>
      </c>
      <c r="E14" s="9" t="n">
        <v>777</v>
      </c>
      <c r="F14" s="15" t="n">
        <f aca="false">E14</f>
        <v>777</v>
      </c>
      <c r="G14" s="15" t="n">
        <f aca="false">F14</f>
        <v>777</v>
      </c>
      <c r="H14" s="15" t="n">
        <f aca="false">G14</f>
        <v>777</v>
      </c>
      <c r="I14" s="15" t="n">
        <f aca="false">H14</f>
        <v>777</v>
      </c>
      <c r="J14" s="15" t="n">
        <f aca="false">I14</f>
        <v>777</v>
      </c>
    </row>
    <row r="15" customFormat="false" ht="15" hidden="false" customHeight="false" outlineLevel="0" collapsed="false">
      <c r="B15" s="6" t="s">
        <v>54</v>
      </c>
      <c r="D15" s="9" t="n">
        <v>463</v>
      </c>
      <c r="E15" s="9" t="n">
        <v>563</v>
      </c>
      <c r="F15" s="15" t="n">
        <f aca="false">E15-'Cash Flow'!F20-'Cash Flow'!F9</f>
        <v>550.7878</v>
      </c>
      <c r="G15" s="15" t="n">
        <f aca="false">F15-'Cash Flow'!G20-'Cash Flow'!G9</f>
        <v>537.476502</v>
      </c>
      <c r="H15" s="15" t="n">
        <f aca="false">G15-'Cash Flow'!H20-'Cash Flow'!H9</f>
        <v>523.10030016</v>
      </c>
      <c r="I15" s="15" t="n">
        <f aca="false">H15-'Cash Flow'!I20-'Cash Flow'!I9</f>
        <v>507.7177641912</v>
      </c>
      <c r="J15" s="15" t="n">
        <f aca="false">I15-'Cash Flow'!J20-'Cash Flow'!J9</f>
        <v>491.412276064272</v>
      </c>
    </row>
    <row r="16" customFormat="false" ht="15" hidden="false" customHeight="false" outlineLevel="0" collapsed="false">
      <c r="B16" s="10" t="s">
        <v>55</v>
      </c>
      <c r="D16" s="19" t="n">
        <f aca="false">D12+D13+D14+D15</f>
        <v>20645</v>
      </c>
      <c r="E16" s="19" t="n">
        <f aca="false">E12+E13+E14+E15</f>
        <v>20959</v>
      </c>
      <c r="F16" s="19" t="n">
        <f aca="false">F12+F13+F14+F15</f>
        <v>25468.71462</v>
      </c>
      <c r="G16" s="19" t="n">
        <f aca="false">G12+G13+G14+G15</f>
        <v>30535.071479824</v>
      </c>
      <c r="H16" s="19" t="n">
        <f aca="false">H12+H13+H14+H15</f>
        <v>36079.4274000201</v>
      </c>
      <c r="I16" s="19" t="n">
        <f aca="false">I12+I13+I14+I15</f>
        <v>42127.8355168622</v>
      </c>
      <c r="J16" s="19" t="n">
        <f aca="false">J12+J13+J14+J15</f>
        <v>48600.9760413633</v>
      </c>
    </row>
    <row r="18" customFormat="false" ht="15" hidden="false" customHeight="false" outlineLevel="0" collapsed="false">
      <c r="B18" s="21" t="s">
        <v>56</v>
      </c>
    </row>
    <row r="19" customFormat="false" ht="15" hidden="false" customHeight="false" outlineLevel="0" collapsed="false">
      <c r="B19" s="6" t="s">
        <v>57</v>
      </c>
      <c r="D19" s="13" t="n">
        <v>2654</v>
      </c>
      <c r="E19" s="13" t="n">
        <v>2614</v>
      </c>
      <c r="F19" s="15" t="n">
        <f aca="false">'Income Statement'!F7*Drivers!F24</f>
        <v>2869.867</v>
      </c>
      <c r="G19" s="15" t="n">
        <f aca="false">'Income Statement'!G7*Drivers!G24</f>
        <v>3128.15503</v>
      </c>
      <c r="H19" s="15" t="n">
        <f aca="false">'Income Statement'!H7*Drivers!H24</f>
        <v>3378.4074324</v>
      </c>
      <c r="I19" s="15" t="n">
        <f aca="false">'Income Statement'!I7*Drivers!I24</f>
        <v>3614.895952668</v>
      </c>
      <c r="J19" s="15" t="n">
        <f aca="false">'Income Statement'!J7*Drivers!J24</f>
        <v>3831.78970982808</v>
      </c>
    </row>
    <row r="20" customFormat="false" ht="15" hidden="false" customHeight="false" outlineLevel="0" collapsed="false">
      <c r="B20" s="6" t="s">
        <v>58</v>
      </c>
      <c r="D20" s="9" t="n">
        <v>5869</v>
      </c>
      <c r="E20" s="9" t="n">
        <v>5931</v>
      </c>
      <c r="F20" s="15" t="n">
        <f aca="false">F10</f>
        <v>5931</v>
      </c>
      <c r="G20" s="15" t="n">
        <f aca="false">G10</f>
        <v>5931</v>
      </c>
      <c r="H20" s="15" t="n">
        <f aca="false">H10</f>
        <v>5931</v>
      </c>
      <c r="I20" s="15" t="n">
        <f aca="false">I10</f>
        <v>5931</v>
      </c>
      <c r="J20" s="15" t="n">
        <f aca="false">J10</f>
        <v>5931</v>
      </c>
    </row>
    <row r="21" customFormat="false" ht="15" hidden="false" customHeight="false" outlineLevel="0" collapsed="false">
      <c r="B21" s="6" t="s">
        <v>59</v>
      </c>
      <c r="D21" s="9" t="n">
        <v>1427</v>
      </c>
      <c r="E21" s="9" t="n">
        <v>1616</v>
      </c>
      <c r="F21" s="15" t="n">
        <f aca="false">'Income Statement'!F7*Drivers!F25</f>
        <v>1770.769</v>
      </c>
      <c r="G21" s="15" t="n">
        <f aca="false">'Income Statement'!G7*Drivers!G25</f>
        <v>1930.13821</v>
      </c>
      <c r="H21" s="15" t="n">
        <f aca="false">'Income Statement'!H7*Drivers!H25</f>
        <v>2084.5492668</v>
      </c>
      <c r="I21" s="15" t="n">
        <f aca="false">'Income Statement'!I7*Drivers!I25</f>
        <v>2230.467715476</v>
      </c>
      <c r="J21" s="15" t="n">
        <f aca="false">'Income Statement'!J7*Drivers!J25</f>
        <v>2364.29577840456</v>
      </c>
    </row>
    <row r="22" customFormat="false" ht="15" hidden="false" customHeight="false" outlineLevel="0" collapsed="false">
      <c r="B22" s="10" t="s">
        <v>60</v>
      </c>
      <c r="D22" s="16" t="n">
        <f aca="false">SUM(D19:D21)</f>
        <v>9950</v>
      </c>
      <c r="E22" s="16" t="n">
        <f aca="false">SUM(E19:E21)</f>
        <v>10161</v>
      </c>
      <c r="F22" s="16" t="n">
        <f aca="false">SUM(F19:F21)</f>
        <v>10571.636</v>
      </c>
      <c r="G22" s="16" t="n">
        <f aca="false">SUM(G19:G21)</f>
        <v>10989.29324</v>
      </c>
      <c r="H22" s="16" t="n">
        <f aca="false">SUM(H19:H21)</f>
        <v>11393.9566992</v>
      </c>
      <c r="I22" s="16" t="n">
        <f aca="false">SUM(I19:I21)</f>
        <v>11776.363668144</v>
      </c>
      <c r="J22" s="16" t="n">
        <f aca="false">SUM(J19:J21)</f>
        <v>12127.0854882326</v>
      </c>
    </row>
    <row r="23" customFormat="false" ht="15" hidden="false" customHeight="false" outlineLevel="0" collapsed="false">
      <c r="B23" s="6" t="s">
        <v>61</v>
      </c>
      <c r="D23" s="9" t="n">
        <v>1991</v>
      </c>
      <c r="E23" s="9" t="n">
        <v>1995</v>
      </c>
      <c r="F23" s="15" t="n">
        <f aca="false">E23</f>
        <v>1995</v>
      </c>
      <c r="G23" s="15" t="n">
        <f aca="false">F23</f>
        <v>1995</v>
      </c>
      <c r="H23" s="15" t="n">
        <f aca="false">G23</f>
        <v>1995</v>
      </c>
      <c r="I23" s="15" t="n">
        <f aca="false">H23</f>
        <v>1995</v>
      </c>
      <c r="J23" s="15" t="n">
        <f aca="false">I23</f>
        <v>1995</v>
      </c>
    </row>
    <row r="24" customFormat="false" ht="15" hidden="false" customHeight="false" outlineLevel="0" collapsed="false">
      <c r="B24" s="6" t="s">
        <v>62</v>
      </c>
      <c r="D24" s="9" t="n">
        <v>539</v>
      </c>
      <c r="E24" s="9" t="n">
        <v>391</v>
      </c>
      <c r="F24" s="15" t="n">
        <f aca="false">E24</f>
        <v>391</v>
      </c>
      <c r="G24" s="15" t="n">
        <f aca="false">F24</f>
        <v>391</v>
      </c>
      <c r="H24" s="15" t="n">
        <f aca="false">G24</f>
        <v>391</v>
      </c>
      <c r="I24" s="15" t="n">
        <f aca="false">H24</f>
        <v>391</v>
      </c>
      <c r="J24" s="15" t="n">
        <f aca="false">I24</f>
        <v>391</v>
      </c>
    </row>
    <row r="25" customFormat="false" ht="15" hidden="false" customHeight="false" outlineLevel="0" collapsed="false">
      <c r="B25" s="10" t="s">
        <v>63</v>
      </c>
      <c r="D25" s="18" t="n">
        <f aca="false">D22+D23+D24</f>
        <v>12480</v>
      </c>
      <c r="E25" s="18" t="n">
        <f aca="false">E22+E23+E24</f>
        <v>12547</v>
      </c>
      <c r="F25" s="18" t="n">
        <f aca="false">F22+F23+F24</f>
        <v>12957.636</v>
      </c>
      <c r="G25" s="18" t="n">
        <f aca="false">G22+G23+G24</f>
        <v>13375.29324</v>
      </c>
      <c r="H25" s="18" t="n">
        <f aca="false">H22+H23+H24</f>
        <v>13779.9566992</v>
      </c>
      <c r="I25" s="18" t="n">
        <f aca="false">I22+I23+I24</f>
        <v>14162.363668144</v>
      </c>
      <c r="J25" s="18" t="n">
        <f aca="false">J22+J23+J24</f>
        <v>14513.0854882326</v>
      </c>
    </row>
    <row r="27" customFormat="false" ht="15" hidden="false" customHeight="false" outlineLevel="0" collapsed="false">
      <c r="B27" s="6" t="s">
        <v>64</v>
      </c>
      <c r="D27" s="13" t="n">
        <v>11639</v>
      </c>
      <c r="E27" s="13" t="n">
        <v>12602</v>
      </c>
      <c r="F27" s="15" t="n">
        <f aca="false">E27+'Cash Flow'!F10</f>
        <v>14067.464</v>
      </c>
      <c r="G27" s="15" t="n">
        <f aca="false">F27+'Cash Flow'!G10</f>
        <v>15598.26327</v>
      </c>
      <c r="H27" s="15" t="n">
        <f aca="false">G27+'Cash Flow'!H10</f>
        <v>17179.6454724</v>
      </c>
      <c r="I27" s="15" t="n">
        <f aca="false">H27+'Cash Flow'!I10</f>
        <v>18794.811749124</v>
      </c>
      <c r="J27" s="15" t="n">
        <f aca="false">I27+'Cash Flow'!J10</f>
        <v>20425.3605618168</v>
      </c>
    </row>
    <row r="28" customFormat="false" ht="15" hidden="false" customHeight="false" outlineLevel="0" collapsed="false">
      <c r="B28" s="6" t="s">
        <v>65</v>
      </c>
      <c r="D28" s="9" t="n">
        <v>-3425</v>
      </c>
      <c r="E28" s="9" t="n">
        <v>-4154</v>
      </c>
      <c r="F28" s="15" t="n">
        <f aca="false">E28+'Income Statement'!F21</f>
        <v>-1520.38538</v>
      </c>
      <c r="G28" s="15" t="n">
        <f aca="false">F28+'Income Statement'!G21</f>
        <v>1597.514969824</v>
      </c>
      <c r="H28" s="15" t="n">
        <f aca="false">G28+'Income Statement'!H21</f>
        <v>5155.82522842007</v>
      </c>
      <c r="I28" s="15" t="n">
        <f aca="false">H28+'Income Statement'!I21</f>
        <v>9206.66009959421</v>
      </c>
      <c r="J28" s="15" t="n">
        <f aca="false">I28+'Income Statement'!J21</f>
        <v>13698.5299913139</v>
      </c>
    </row>
    <row r="29" customFormat="false" ht="15" hidden="false" customHeight="false" outlineLevel="0" collapsed="false">
      <c r="B29" s="6" t="s">
        <v>66</v>
      </c>
      <c r="D29" s="9" t="n">
        <v>-49</v>
      </c>
      <c r="E29" s="9" t="n">
        <v>-36</v>
      </c>
      <c r="F29" s="15" t="n">
        <f aca="false">E29</f>
        <v>-36</v>
      </c>
      <c r="G29" s="15" t="n">
        <f aca="false">F29</f>
        <v>-36</v>
      </c>
      <c r="H29" s="15" t="n">
        <f aca="false">G29</f>
        <v>-36</v>
      </c>
      <c r="I29" s="15" t="n">
        <f aca="false">H29</f>
        <v>-36</v>
      </c>
      <c r="J29" s="15" t="n">
        <f aca="false">I29</f>
        <v>-36</v>
      </c>
    </row>
    <row r="30" customFormat="false" ht="15" hidden="false" customHeight="false" outlineLevel="0" collapsed="false">
      <c r="B30" s="10" t="s">
        <v>67</v>
      </c>
      <c r="D30" s="18" t="n">
        <f aca="false">D27+D28+D29</f>
        <v>8165</v>
      </c>
      <c r="E30" s="18" t="n">
        <f aca="false">E27+E28+E29</f>
        <v>8412</v>
      </c>
      <c r="F30" s="18" t="n">
        <f aca="false">F27+F28+F29</f>
        <v>12511.07862</v>
      </c>
      <c r="G30" s="18" t="n">
        <f aca="false">G27+G28+G29</f>
        <v>17159.778239824</v>
      </c>
      <c r="H30" s="18" t="n">
        <f aca="false">H27+H28+H29</f>
        <v>22299.4707008201</v>
      </c>
      <c r="I30" s="18" t="n">
        <f aca="false">I27+I28+I29</f>
        <v>27965.4718487182</v>
      </c>
      <c r="J30" s="18" t="n">
        <f aca="false">J27+J28+J29</f>
        <v>34087.8905531307</v>
      </c>
    </row>
    <row r="31" customFormat="false" ht="15" hidden="false" customHeight="false" outlineLevel="0" collapsed="false">
      <c r="B31" s="10" t="s">
        <v>68</v>
      </c>
      <c r="D31" s="19" t="n">
        <f aca="false">D25+D30</f>
        <v>20645</v>
      </c>
      <c r="E31" s="19" t="n">
        <f aca="false">E25+E30</f>
        <v>20959</v>
      </c>
      <c r="F31" s="19" t="n">
        <f aca="false">F25+F30</f>
        <v>25468.71462</v>
      </c>
      <c r="G31" s="19" t="n">
        <f aca="false">G25+G30</f>
        <v>30535.071479824</v>
      </c>
      <c r="H31" s="19" t="n">
        <f aca="false">H25+H30</f>
        <v>36079.4274000201</v>
      </c>
      <c r="I31" s="19" t="n">
        <f aca="false">I25+I30</f>
        <v>42127.8355168622</v>
      </c>
      <c r="J31" s="19" t="n">
        <f aca="false">J25+J30</f>
        <v>48600.9760413633</v>
      </c>
    </row>
    <row r="33" customFormat="false" ht="15" hidden="false" customHeight="false" outlineLevel="0" collapsed="false">
      <c r="B33" s="6" t="s">
        <v>69</v>
      </c>
      <c r="D33" s="23" t="n">
        <f aca="false">D16-D31</f>
        <v>0</v>
      </c>
      <c r="E33" s="23" t="n">
        <f aca="false">E16-E31</f>
        <v>0</v>
      </c>
      <c r="F33" s="23" t="n">
        <f aca="false">F16-F31</f>
        <v>0</v>
      </c>
      <c r="G33" s="23" t="n">
        <f aca="false">G16-G31</f>
        <v>0</v>
      </c>
      <c r="H33" s="23" t="n">
        <f aca="false">H16-H31</f>
        <v>0</v>
      </c>
      <c r="I33" s="23" t="n">
        <f aca="false">I16-I31</f>
        <v>0</v>
      </c>
      <c r="J33" s="23" t="n">
        <f aca="false">J16-J31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10" min="4" style="0" width="12.5"/>
  </cols>
  <sheetData>
    <row r="2" customFormat="false" ht="16.15" hidden="false" customHeight="false" outlineLevel="0" collapsed="false">
      <c r="B2" s="1" t="s">
        <v>70</v>
      </c>
    </row>
    <row r="4" customFormat="false" ht="9" hidden="false" customHeight="true" outlineLevel="0" collapsed="false">
      <c r="D4" s="2" t="n">
        <v>2023</v>
      </c>
      <c r="E4" s="3" t="n">
        <f aca="false">D4+1</f>
        <v>2024</v>
      </c>
      <c r="F4" s="3" t="n">
        <f aca="false">E4+1</f>
        <v>2025</v>
      </c>
      <c r="G4" s="3" t="n">
        <f aca="false">F4+1</f>
        <v>2026</v>
      </c>
      <c r="H4" s="3" t="n">
        <f aca="false">G4+1</f>
        <v>2027</v>
      </c>
      <c r="I4" s="3" t="n">
        <f aca="false">H4+1</f>
        <v>2028</v>
      </c>
      <c r="J4" s="3" t="n">
        <f aca="false">I4+1</f>
        <v>2029</v>
      </c>
    </row>
    <row r="5" customFormat="false" ht="15" hidden="false" customHeight="false" outlineLevel="0" collapsed="false">
      <c r="C5" s="4" t="s">
        <v>1</v>
      </c>
      <c r="D5" s="5" t="str">
        <f aca="false">"FY"&amp;D4&amp;"A"</f>
        <v>FY2023A</v>
      </c>
      <c r="E5" s="5" t="str">
        <f aca="false">"FY"&amp;E4&amp;"A"</f>
        <v>FY2024A</v>
      </c>
      <c r="F5" s="5" t="str">
        <f aca="false">"FY"&amp;F4&amp;"E"</f>
        <v>FY2025E</v>
      </c>
      <c r="G5" s="5" t="str">
        <f aca="false">"FY"&amp;G4&amp;"E"</f>
        <v>FY2026E</v>
      </c>
      <c r="H5" s="5" t="str">
        <f aca="false">"FY"&amp;H4&amp;"E"</f>
        <v>FY2027E</v>
      </c>
      <c r="I5" s="5" t="str">
        <f aca="false">"FY"&amp;I4&amp;"E"</f>
        <v>FY2028E</v>
      </c>
      <c r="J5" s="5" t="str">
        <f aca="false">"FY"&amp;J4&amp;"E"</f>
        <v>FY2029E</v>
      </c>
    </row>
    <row r="7" customFormat="false" ht="15" hidden="false" customHeight="false" outlineLevel="0" collapsed="false">
      <c r="B7" s="21" t="s">
        <v>71</v>
      </c>
    </row>
    <row r="8" customFormat="false" ht="15" hidden="false" customHeight="false" outlineLevel="0" collapsed="false">
      <c r="B8" s="6" t="s">
        <v>72</v>
      </c>
      <c r="D8" s="22" t="n">
        <f aca="false">'Income Statement'!D21</f>
        <v>4792</v>
      </c>
      <c r="E8" s="22" t="n">
        <f aca="false">'Income Statement'!E21</f>
        <v>2648</v>
      </c>
      <c r="F8" s="22" t="n">
        <f aca="false">'Income Statement'!F21</f>
        <v>2633.61462</v>
      </c>
      <c r="G8" s="22" t="n">
        <f aca="false">'Income Statement'!G21</f>
        <v>3117.900349824</v>
      </c>
      <c r="H8" s="22" t="n">
        <f aca="false">'Income Statement'!H21</f>
        <v>3558.31025859606</v>
      </c>
      <c r="I8" s="22" t="n">
        <f aca="false">'Income Statement'!I21</f>
        <v>4050.83487117414</v>
      </c>
      <c r="J8" s="22" t="n">
        <f aca="false">'Income Statement'!J21</f>
        <v>4491.86989171968</v>
      </c>
    </row>
    <row r="9" customFormat="false" ht="15" hidden="false" customHeight="false" outlineLevel="0" collapsed="false">
      <c r="B9" s="6" t="s">
        <v>73</v>
      </c>
      <c r="D9" s="9" t="n">
        <v>44</v>
      </c>
      <c r="E9" s="9" t="n">
        <v>65</v>
      </c>
      <c r="F9" s="15" t="n">
        <f aca="false">'Income Statement'!F7*Drivers!F18</f>
        <v>61.061</v>
      </c>
      <c r="G9" s="15" t="n">
        <f aca="false">'Income Statement'!G7*Drivers!G18</f>
        <v>66.55649</v>
      </c>
      <c r="H9" s="15" t="n">
        <f aca="false">'Income Statement'!H7*Drivers!H18</f>
        <v>71.8810092</v>
      </c>
      <c r="I9" s="15" t="n">
        <f aca="false">'Income Statement'!I7*Drivers!I18</f>
        <v>76.912679844</v>
      </c>
      <c r="J9" s="15" t="n">
        <f aca="false">'Income Statement'!J7*Drivers!J18</f>
        <v>81.52744063464</v>
      </c>
    </row>
    <row r="10" customFormat="false" ht="15" hidden="false" customHeight="false" outlineLevel="0" collapsed="false">
      <c r="B10" s="6" t="s">
        <v>74</v>
      </c>
      <c r="D10" s="9" t="n">
        <v>1120</v>
      </c>
      <c r="E10" s="9" t="n">
        <v>1407</v>
      </c>
      <c r="F10" s="15" t="n">
        <f aca="false">'Income Statement'!F7*Drivers!F20</f>
        <v>1465.464</v>
      </c>
      <c r="G10" s="15" t="n">
        <f aca="false">'Income Statement'!G7*Drivers!G20</f>
        <v>1530.79927</v>
      </c>
      <c r="H10" s="15" t="n">
        <f aca="false">'Income Statement'!H7*Drivers!H20</f>
        <v>1581.3822024</v>
      </c>
      <c r="I10" s="15" t="n">
        <f aca="false">'Income Statement'!I7*Drivers!I20</f>
        <v>1615.166276724</v>
      </c>
      <c r="J10" s="15" t="n">
        <f aca="false">'Income Statement'!J7*Drivers!J20</f>
        <v>1630.5488126928</v>
      </c>
    </row>
    <row r="11" customFormat="false" ht="15" hidden="false" customHeight="false" outlineLevel="0" collapsed="false">
      <c r="B11" s="6" t="s">
        <v>75</v>
      </c>
      <c r="D11" s="9" t="n">
        <v>-2792</v>
      </c>
      <c r="E11" s="9" t="n">
        <v>465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</row>
    <row r="12" customFormat="false" ht="15" hidden="false" customHeight="false" outlineLevel="0" collapsed="false">
      <c r="B12" s="6" t="s">
        <v>76</v>
      </c>
      <c r="D12" s="9" t="n">
        <v>-102</v>
      </c>
      <c r="E12" s="9" t="n">
        <v>-163</v>
      </c>
      <c r="F12" s="15" t="n">
        <f aca="false">-('Balance Sheet'!F11-'Balance Sheet'!E11)</f>
        <v>-58.0954</v>
      </c>
      <c r="G12" s="15" t="n">
        <f aca="false">-('Balance Sheet'!G11-'Balance Sheet'!F11)</f>
        <v>-62.6485860000001</v>
      </c>
      <c r="H12" s="15" t="n">
        <f aca="false">-('Balance Sheet'!H11-'Balance Sheet'!G11)</f>
        <v>-60.69951888</v>
      </c>
      <c r="I12" s="15" t="n">
        <f aca="false">-('Balance Sheet'!I11-'Balance Sheet'!H11)</f>
        <v>-57.3610453416001</v>
      </c>
      <c r="J12" s="15" t="n">
        <f aca="false">-('Balance Sheet'!J11-'Balance Sheet'!I11)</f>
        <v>-52.6082730132961</v>
      </c>
    </row>
    <row r="13" customFormat="false" ht="15" hidden="false" customHeight="false" outlineLevel="0" collapsed="false">
      <c r="B13" s="6" t="s">
        <v>77</v>
      </c>
      <c r="D13" s="9" t="n">
        <v>580</v>
      </c>
      <c r="E13" s="9" t="n">
        <v>-104</v>
      </c>
      <c r="F13" s="15" t="n">
        <f aca="false">'Balance Sheet'!F19-'Balance Sheet'!E19</f>
        <v>255.867</v>
      </c>
      <c r="G13" s="15" t="n">
        <f aca="false">'Balance Sheet'!G19-'Balance Sheet'!F19</f>
        <v>258.28803</v>
      </c>
      <c r="H13" s="15" t="n">
        <f aca="false">'Balance Sheet'!H19-'Balance Sheet'!G19</f>
        <v>250.2524024</v>
      </c>
      <c r="I13" s="15" t="n">
        <f aca="false">'Balance Sheet'!I19-'Balance Sheet'!H19</f>
        <v>236.488520268</v>
      </c>
      <c r="J13" s="15" t="n">
        <f aca="false">'Balance Sheet'!J19-'Balance Sheet'!I19</f>
        <v>216.89375716008</v>
      </c>
    </row>
    <row r="14" customFormat="false" ht="15" hidden="false" customHeight="false" outlineLevel="0" collapsed="false">
      <c r="B14" s="6" t="s">
        <v>78</v>
      </c>
      <c r="D14" s="9" t="n">
        <v>242</v>
      </c>
      <c r="E14" s="9" t="n">
        <v>200</v>
      </c>
      <c r="F14" s="15" t="n">
        <f aca="false">'Balance Sheet'!F21-'Balance Sheet'!E21</f>
        <v>154.769</v>
      </c>
      <c r="G14" s="15" t="n">
        <f aca="false">'Balance Sheet'!G21-'Balance Sheet'!F21</f>
        <v>159.36921</v>
      </c>
      <c r="H14" s="15" t="n">
        <f aca="false">'Balance Sheet'!H21-'Balance Sheet'!G21</f>
        <v>154.4110568</v>
      </c>
      <c r="I14" s="15" t="n">
        <f aca="false">'Balance Sheet'!I21-'Balance Sheet'!H21</f>
        <v>145.918448676</v>
      </c>
      <c r="J14" s="15" t="n">
        <f aca="false">'Balance Sheet'!J21-'Balance Sheet'!I21</f>
        <v>133.82806292856</v>
      </c>
    </row>
    <row r="15" customFormat="false" ht="15" hidden="false" customHeight="false" outlineLevel="0" collapsed="false">
      <c r="B15" s="10" t="s">
        <v>79</v>
      </c>
      <c r="D15" s="18" t="n">
        <f aca="false">SUM(D8:D14)</f>
        <v>3884</v>
      </c>
      <c r="E15" s="18" t="n">
        <f aca="false">SUM(E8:E14)</f>
        <v>4518</v>
      </c>
      <c r="F15" s="18" t="n">
        <f aca="false">SUM(F8:F14)</f>
        <v>4512.68022</v>
      </c>
      <c r="G15" s="18" t="n">
        <f aca="false">SUM(G8:G14)</f>
        <v>5070.264763824</v>
      </c>
      <c r="H15" s="18" t="n">
        <f aca="false">SUM(H8:H14)</f>
        <v>5555.53741051607</v>
      </c>
      <c r="I15" s="18" t="n">
        <f aca="false">SUM(I8:I14)</f>
        <v>6067.95975134454</v>
      </c>
      <c r="J15" s="18" t="n">
        <f aca="false">SUM(J8:J14)</f>
        <v>6502.05969212247</v>
      </c>
    </row>
    <row r="17" customFormat="false" ht="15" hidden="false" customHeight="false" outlineLevel="0" collapsed="false">
      <c r="B17" s="21" t="s">
        <v>80</v>
      </c>
    </row>
    <row r="18" customFormat="false" ht="15" hidden="false" customHeight="false" outlineLevel="0" collapsed="false">
      <c r="B18" s="6" t="s">
        <v>81</v>
      </c>
      <c r="D18" s="9" t="n">
        <v>-3308</v>
      </c>
      <c r="E18" s="9" t="n">
        <v>-3146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</row>
    <row r="19" customFormat="false" ht="15" hidden="false" customHeight="false" outlineLevel="0" collapsed="false">
      <c r="B19" s="6" t="s">
        <v>82</v>
      </c>
      <c r="D19" s="9" t="n">
        <v>2380</v>
      </c>
      <c r="E19" s="9" t="n">
        <v>2605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</row>
    <row r="20" customFormat="false" ht="15" hidden="false" customHeight="false" outlineLevel="0" collapsed="false">
      <c r="B20" s="6" t="s">
        <v>83</v>
      </c>
      <c r="D20" s="9" t="n">
        <v>-114</v>
      </c>
      <c r="E20" s="9" t="n">
        <v>-75</v>
      </c>
      <c r="F20" s="15" t="n">
        <f aca="false">-'Income Statement'!F7*Drivers!F19</f>
        <v>-48.8488</v>
      </c>
      <c r="G20" s="15" t="n">
        <f aca="false">-'Income Statement'!G7*Drivers!G19</f>
        <v>-53.245192</v>
      </c>
      <c r="H20" s="15" t="n">
        <f aca="false">-'Income Statement'!H7*Drivers!H19</f>
        <v>-57.50480736</v>
      </c>
      <c r="I20" s="15" t="n">
        <f aca="false">-'Income Statement'!I7*Drivers!I19</f>
        <v>-61.5301438752</v>
      </c>
      <c r="J20" s="15" t="n">
        <f aca="false">-'Income Statement'!J7*Drivers!J19</f>
        <v>-65.221952507712</v>
      </c>
    </row>
    <row r="21" customFormat="false" ht="15" hidden="false" customHeight="false" outlineLevel="0" collapsed="false">
      <c r="B21" s="10" t="s">
        <v>84</v>
      </c>
      <c r="D21" s="18" t="n">
        <f aca="false">SUM(D18:D20)</f>
        <v>-1042</v>
      </c>
      <c r="E21" s="18" t="n">
        <f aca="false">SUM(E18:E20)</f>
        <v>-616</v>
      </c>
      <c r="F21" s="18" t="n">
        <f aca="false">SUM(F18:F20)</f>
        <v>-48.8488</v>
      </c>
      <c r="G21" s="18" t="n">
        <f aca="false">SUM(G18:G20)</f>
        <v>-53.245192</v>
      </c>
      <c r="H21" s="18" t="n">
        <f aca="false">SUM(H18:H20)</f>
        <v>-57.50480736</v>
      </c>
      <c r="I21" s="18" t="n">
        <f aca="false">SUM(I18:I20)</f>
        <v>-61.5301438752</v>
      </c>
      <c r="J21" s="18" t="n">
        <f aca="false">SUM(J18:J20)</f>
        <v>-65.221952507712</v>
      </c>
    </row>
    <row r="23" customFormat="false" ht="15" hidden="false" customHeight="false" outlineLevel="0" collapsed="false">
      <c r="B23" s="21" t="s">
        <v>85</v>
      </c>
    </row>
    <row r="24" customFormat="false" ht="15" hidden="false" customHeight="false" outlineLevel="0" collapsed="false">
      <c r="B24" s="6" t="s">
        <v>86</v>
      </c>
      <c r="D24" s="9" t="n">
        <v>-2250</v>
      </c>
      <c r="E24" s="9" t="n">
        <v>-3430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</row>
    <row r="25" customFormat="false" ht="15" hidden="false" customHeight="false" outlineLevel="0" collapsed="false">
      <c r="B25" s="6" t="s">
        <v>87</v>
      </c>
      <c r="D25" s="9" t="n">
        <v>-1096</v>
      </c>
      <c r="E25" s="9" t="n">
        <v>-482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</row>
    <row r="26" customFormat="false" ht="15" hidden="false" customHeight="false" outlineLevel="0" collapsed="false">
      <c r="B26" s="10" t="s">
        <v>88</v>
      </c>
      <c r="D26" s="18" t="n">
        <f aca="false">D24+D25</f>
        <v>-3346</v>
      </c>
      <c r="E26" s="18" t="n">
        <f aca="false">E24+E25</f>
        <v>-3912</v>
      </c>
      <c r="F26" s="18" t="n">
        <f aca="false">F24+F25</f>
        <v>0</v>
      </c>
      <c r="G26" s="18" t="n">
        <f aca="false">G24+G25</f>
        <v>0</v>
      </c>
      <c r="H26" s="18" t="n">
        <f aca="false">H24+H25</f>
        <v>0</v>
      </c>
      <c r="I26" s="18" t="n">
        <f aca="false">I24+I25</f>
        <v>0</v>
      </c>
      <c r="J26" s="18" t="n">
        <f aca="false">J24+J25</f>
        <v>0</v>
      </c>
    </row>
    <row r="28" customFormat="false" ht="15" hidden="false" customHeight="false" outlineLevel="0" collapsed="false">
      <c r="B28" s="10" t="s">
        <v>89</v>
      </c>
      <c r="D28" s="18" t="n">
        <f aca="false">D15+D21+D26</f>
        <v>-504</v>
      </c>
      <c r="E28" s="18" t="n">
        <f aca="false">E15+E21+E26</f>
        <v>-10</v>
      </c>
      <c r="F28" s="18" t="n">
        <f aca="false">F15+F21+F26</f>
        <v>4463.83142</v>
      </c>
      <c r="G28" s="18" t="n">
        <f aca="false">G15+G21+G26</f>
        <v>5017.019571824</v>
      </c>
      <c r="H28" s="18" t="n">
        <f aca="false">H15+H21+H26</f>
        <v>5498.03260315607</v>
      </c>
      <c r="I28" s="18" t="n">
        <f aca="false">I15+I21+I26</f>
        <v>6006.42960746934</v>
      </c>
      <c r="J28" s="18" t="n">
        <f aca="false">J15+J21+J26</f>
        <v>6436.83773961476</v>
      </c>
    </row>
    <row r="29" customFormat="false" ht="15" hidden="false" customHeight="false" outlineLevel="0" collapsed="false">
      <c r="B29" s="6" t="s">
        <v>90</v>
      </c>
      <c r="D29" s="9" t="n">
        <v>7378</v>
      </c>
      <c r="E29" s="9" t="n">
        <v>6874</v>
      </c>
      <c r="F29" s="24" t="n">
        <f aca="false">'Balance Sheet'!E8</f>
        <v>6864</v>
      </c>
      <c r="G29" s="24" t="n">
        <f aca="false">'Balance Sheet'!F8</f>
        <v>11327.83142</v>
      </c>
      <c r="H29" s="24" t="n">
        <f aca="false">'Balance Sheet'!G8</f>
        <v>16344.850991824</v>
      </c>
      <c r="I29" s="24" t="n">
        <f aca="false">'Balance Sheet'!H8</f>
        <v>21842.8835949801</v>
      </c>
      <c r="J29" s="24" t="n">
        <f aca="false">'Balance Sheet'!I8</f>
        <v>27849.3132024494</v>
      </c>
    </row>
    <row r="30" customFormat="false" ht="15" hidden="false" customHeight="false" outlineLevel="0" collapsed="false">
      <c r="B30" s="10" t="s">
        <v>91</v>
      </c>
      <c r="D30" s="19" t="n">
        <f aca="false">D29+D28</f>
        <v>6874</v>
      </c>
      <c r="E30" s="19" t="n">
        <f aca="false">E29+E28</f>
        <v>6864</v>
      </c>
      <c r="F30" s="19" t="n">
        <f aca="false">F29+F28</f>
        <v>11327.83142</v>
      </c>
      <c r="G30" s="19" t="n">
        <f aca="false">G29+G28</f>
        <v>16344.850991824</v>
      </c>
      <c r="H30" s="19" t="n">
        <f aca="false">H29+H28</f>
        <v>21842.8835949801</v>
      </c>
      <c r="I30" s="19" t="n">
        <f aca="false">I29+I28</f>
        <v>27849.3132024494</v>
      </c>
      <c r="J30" s="19" t="n">
        <f aca="false">J29+J28</f>
        <v>34286.1509420642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10" min="4" style="0" width="12.5"/>
  </cols>
  <sheetData>
    <row r="2" customFormat="false" ht="16.15" hidden="false" customHeight="false" outlineLevel="0" collapsed="false">
      <c r="B2" s="1" t="s">
        <v>92</v>
      </c>
    </row>
    <row r="3" customFormat="false" ht="15" hidden="false" customHeight="false" outlineLevel="0" collapsed="false">
      <c r="C3" s="4" t="s">
        <v>93</v>
      </c>
    </row>
    <row r="6" customFormat="false" ht="15" hidden="false" customHeight="false" outlineLevel="0" collapsed="false">
      <c r="B6" s="21" t="s">
        <v>94</v>
      </c>
    </row>
    <row r="7" customFormat="false" ht="15" hidden="false" customHeight="false" outlineLevel="0" collapsed="false">
      <c r="B7" s="6" t="s">
        <v>20</v>
      </c>
      <c r="D7" s="25" t="n">
        <f aca="false">Drivers!D28</f>
        <v>0.043</v>
      </c>
    </row>
    <row r="8" customFormat="false" ht="15" hidden="false" customHeight="false" outlineLevel="0" collapsed="false">
      <c r="B8" s="6" t="s">
        <v>22</v>
      </c>
      <c r="D8" s="26" t="n">
        <f aca="false">Drivers!D30</f>
        <v>1.25</v>
      </c>
    </row>
    <row r="9" customFormat="false" ht="15" hidden="false" customHeight="false" outlineLevel="0" collapsed="false">
      <c r="B9" s="6" t="s">
        <v>21</v>
      </c>
      <c r="D9" s="25" t="n">
        <f aca="false">Drivers!D29</f>
        <v>0.05</v>
      </c>
    </row>
    <row r="10" customFormat="false" ht="15" hidden="false" customHeight="false" outlineLevel="0" collapsed="false">
      <c r="B10" s="6" t="s">
        <v>95</v>
      </c>
      <c r="D10" s="27" t="n">
        <f aca="false">D7+D8*D9</f>
        <v>0.1055</v>
      </c>
    </row>
    <row r="11" customFormat="false" ht="15" hidden="false" customHeight="false" outlineLevel="0" collapsed="false">
      <c r="B11" s="6" t="s">
        <v>23</v>
      </c>
      <c r="D11" s="25" t="n">
        <f aca="false">Drivers!D31</f>
        <v>0.05</v>
      </c>
    </row>
    <row r="12" customFormat="false" ht="15" hidden="false" customHeight="false" outlineLevel="0" collapsed="false">
      <c r="B12" s="6" t="s">
        <v>96</v>
      </c>
      <c r="D12" s="25" t="n">
        <f aca="false">Drivers!F14</f>
        <v>0.22</v>
      </c>
    </row>
    <row r="13" customFormat="false" ht="15" hidden="false" customHeight="false" outlineLevel="0" collapsed="false">
      <c r="B13" s="6" t="s">
        <v>97</v>
      </c>
      <c r="D13" s="27" t="n">
        <f aca="false">D11*(1-D12)</f>
        <v>0.039</v>
      </c>
    </row>
    <row r="14" customFormat="false" ht="15" hidden="false" customHeight="false" outlineLevel="0" collapsed="false">
      <c r="B14" s="6" t="s">
        <v>98</v>
      </c>
      <c r="D14" s="14" t="n">
        <f aca="false">Drivers!D33*Drivers!D34</f>
        <v>80010</v>
      </c>
    </row>
    <row r="15" customFormat="false" ht="15" hidden="false" customHeight="false" outlineLevel="0" collapsed="false">
      <c r="B15" s="6" t="s">
        <v>99</v>
      </c>
      <c r="D15" s="24" t="n">
        <f aca="false">'Balance Sheet'!E23</f>
        <v>1995</v>
      </c>
    </row>
    <row r="16" customFormat="false" ht="15" hidden="false" customHeight="false" outlineLevel="0" collapsed="false">
      <c r="B16" s="6" t="s">
        <v>100</v>
      </c>
      <c r="D16" s="27" t="n">
        <f aca="false">D14/(D14+D15)</f>
        <v>0.975672215108835</v>
      </c>
    </row>
    <row r="17" customFormat="false" ht="15" hidden="false" customHeight="false" outlineLevel="0" collapsed="false">
      <c r="B17" s="6" t="s">
        <v>101</v>
      </c>
      <c r="D17" s="27" t="n">
        <f aca="false">D15/(D14+D15)</f>
        <v>0.0243277848911652</v>
      </c>
    </row>
    <row r="18" customFormat="false" ht="15" hidden="false" customHeight="false" outlineLevel="0" collapsed="false">
      <c r="B18" s="10" t="s">
        <v>102</v>
      </c>
      <c r="D18" s="28" t="n">
        <f aca="false">D16*D10+D17*D13</f>
        <v>0.103882202304738</v>
      </c>
    </row>
    <row r="21" customFormat="false" ht="15" hidden="false" customHeight="false" outlineLevel="0" collapsed="false">
      <c r="B21" s="21" t="s">
        <v>103</v>
      </c>
    </row>
    <row r="22" customFormat="false" ht="15" hidden="false" customHeight="false" outlineLevel="0" collapsed="false">
      <c r="F22" s="5" t="str">
        <f aca="false">"FY"&amp;'Income Statement'!F4&amp;"E"</f>
        <v>FY2025E</v>
      </c>
      <c r="G22" s="5" t="str">
        <f aca="false">"FY"&amp;'Income Statement'!G4&amp;"E"</f>
        <v>FY2026E</v>
      </c>
      <c r="H22" s="5" t="str">
        <f aca="false">"FY"&amp;'Income Statement'!H4&amp;"E"</f>
        <v>FY2027E</v>
      </c>
      <c r="I22" s="5" t="str">
        <f aca="false">"FY"&amp;'Income Statement'!I4&amp;"E"</f>
        <v>FY2028E</v>
      </c>
      <c r="J22" s="5" t="str">
        <f aca="false">"FY"&amp;'Income Statement'!J4&amp;"E"</f>
        <v>FY2029E</v>
      </c>
    </row>
    <row r="23" customFormat="false" ht="15" hidden="false" customHeight="false" outlineLevel="0" collapsed="false">
      <c r="B23" s="6" t="s">
        <v>104</v>
      </c>
      <c r="F23" s="22" t="n">
        <f aca="false">'Income Statement'!F14</f>
        <v>2991.989</v>
      </c>
      <c r="G23" s="22" t="n">
        <f aca="false">'Income Statement'!G14</f>
        <v>3434.314884</v>
      </c>
      <c r="H23" s="22" t="n">
        <f aca="false">'Income Statement'!H14</f>
        <v>3838.44589128</v>
      </c>
      <c r="I23" s="22" t="n">
        <f aca="false">'Income Statement'!I14</f>
        <v>4260.9624633576</v>
      </c>
      <c r="J23" s="22" t="n">
        <f aca="false">'Income Statement'!J14</f>
        <v>4598.1476517937</v>
      </c>
    </row>
    <row r="24" customFormat="false" ht="15" hidden="false" customHeight="false" outlineLevel="0" collapsed="false">
      <c r="B24" s="6" t="s">
        <v>105</v>
      </c>
      <c r="F24" s="15" t="n">
        <f aca="false">-F23*$D$12</f>
        <v>-658.23758</v>
      </c>
      <c r="G24" s="15" t="n">
        <f aca="false">-G23*$D$12</f>
        <v>-755.54927448</v>
      </c>
      <c r="H24" s="15" t="n">
        <f aca="false">-H23*$D$12</f>
        <v>-844.4580960816</v>
      </c>
      <c r="I24" s="15" t="n">
        <f aca="false">-I23*$D$12</f>
        <v>-937.411741938673</v>
      </c>
      <c r="J24" s="15" t="n">
        <f aca="false">-J23*$D$12</f>
        <v>-1011.59248339461</v>
      </c>
    </row>
    <row r="25" customFormat="false" ht="15" hidden="false" customHeight="false" outlineLevel="0" collapsed="false">
      <c r="B25" s="10" t="s">
        <v>106</v>
      </c>
      <c r="F25" s="18" t="n">
        <f aca="false">F23+F24</f>
        <v>2333.75142</v>
      </c>
      <c r="G25" s="18" t="n">
        <f aca="false">G23+G24</f>
        <v>2678.76560952</v>
      </c>
      <c r="H25" s="18" t="n">
        <f aca="false">H23+H24</f>
        <v>2993.9877951984</v>
      </c>
      <c r="I25" s="18" t="n">
        <f aca="false">I23+I24</f>
        <v>3323.55072141893</v>
      </c>
      <c r="J25" s="18" t="n">
        <f aca="false">J23+J24</f>
        <v>3586.55516839908</v>
      </c>
    </row>
    <row r="26" customFormat="false" ht="15" hidden="false" customHeight="false" outlineLevel="0" collapsed="false">
      <c r="B26" s="6" t="s">
        <v>107</v>
      </c>
      <c r="F26" s="24" t="n">
        <f aca="false">'Cash Flow'!F9</f>
        <v>61.061</v>
      </c>
      <c r="G26" s="24" t="n">
        <f aca="false">'Cash Flow'!G9</f>
        <v>66.55649</v>
      </c>
      <c r="H26" s="24" t="n">
        <f aca="false">'Cash Flow'!H9</f>
        <v>71.8810092</v>
      </c>
      <c r="I26" s="24" t="n">
        <f aca="false">'Cash Flow'!I9</f>
        <v>76.912679844</v>
      </c>
      <c r="J26" s="24" t="n">
        <f aca="false">'Cash Flow'!J9</f>
        <v>81.52744063464</v>
      </c>
    </row>
    <row r="27" customFormat="false" ht="15" hidden="false" customHeight="false" outlineLevel="0" collapsed="false">
      <c r="B27" s="6" t="s">
        <v>108</v>
      </c>
      <c r="F27" s="24" t="n">
        <f aca="false">'Cash Flow'!F20</f>
        <v>-48.8488</v>
      </c>
      <c r="G27" s="24" t="n">
        <f aca="false">'Cash Flow'!G20</f>
        <v>-53.245192</v>
      </c>
      <c r="H27" s="24" t="n">
        <f aca="false">'Cash Flow'!H20</f>
        <v>-57.50480736</v>
      </c>
      <c r="I27" s="24" t="n">
        <f aca="false">'Cash Flow'!I20</f>
        <v>-61.5301438752</v>
      </c>
      <c r="J27" s="24" t="n">
        <f aca="false">'Cash Flow'!J20</f>
        <v>-65.221952507712</v>
      </c>
    </row>
    <row r="28" customFormat="false" ht="15" hidden="false" customHeight="false" outlineLevel="0" collapsed="false">
      <c r="B28" s="6" t="s">
        <v>109</v>
      </c>
      <c r="F28" s="24" t="n">
        <f aca="false">'Cash Flow'!F12+'Cash Flow'!F13+'Cash Flow'!F14</f>
        <v>352.5406</v>
      </c>
      <c r="G28" s="24" t="n">
        <f aca="false">'Cash Flow'!G12+'Cash Flow'!G13+'Cash Flow'!G14</f>
        <v>355.008654</v>
      </c>
      <c r="H28" s="24" t="n">
        <f aca="false">'Cash Flow'!H12+'Cash Flow'!H13+'Cash Flow'!H14</f>
        <v>343.96394032</v>
      </c>
      <c r="I28" s="24" t="n">
        <f aca="false">'Cash Flow'!I12+'Cash Flow'!I13+'Cash Flow'!I14</f>
        <v>325.045923602401</v>
      </c>
      <c r="J28" s="24" t="n">
        <f aca="false">'Cash Flow'!J12+'Cash Flow'!J13+'Cash Flow'!J14</f>
        <v>298.113547075344</v>
      </c>
    </row>
    <row r="29" customFormat="false" ht="15" hidden="false" customHeight="false" outlineLevel="0" collapsed="false">
      <c r="B29" s="10" t="s">
        <v>110</v>
      </c>
      <c r="F29" s="29" t="n">
        <f aca="false">F25+F26+F27+F28</f>
        <v>2698.50422</v>
      </c>
      <c r="G29" s="29" t="n">
        <f aca="false">G25+G26+G27+G28</f>
        <v>3047.08556152</v>
      </c>
      <c r="H29" s="29" t="n">
        <f aca="false">H25+H26+H27+H28</f>
        <v>3352.3279373584</v>
      </c>
      <c r="I29" s="29" t="n">
        <f aca="false">I25+I26+I27+I28</f>
        <v>3663.97918099013</v>
      </c>
      <c r="J29" s="29" t="n">
        <f aca="false">J25+J26+J27+J28</f>
        <v>3900.97420360136</v>
      </c>
    </row>
    <row r="30" customFormat="false" ht="15" hidden="false" customHeight="false" outlineLevel="0" collapsed="false">
      <c r="B30" s="6" t="s">
        <v>111</v>
      </c>
      <c r="F30" s="30" t="n">
        <v>1</v>
      </c>
      <c r="G30" s="30" t="n">
        <v>2</v>
      </c>
      <c r="H30" s="30" t="n">
        <v>3</v>
      </c>
      <c r="I30" s="30" t="n">
        <v>4</v>
      </c>
      <c r="J30" s="30" t="n">
        <v>5</v>
      </c>
    </row>
    <row r="31" customFormat="false" ht="15" hidden="false" customHeight="false" outlineLevel="0" collapsed="false">
      <c r="B31" s="6" t="s">
        <v>112</v>
      </c>
      <c r="F31" s="31" t="n">
        <f aca="false">1/(1+$D$18)^F30</f>
        <v>0.905893761048192</v>
      </c>
      <c r="G31" s="31" t="n">
        <f aca="false">1/(1+$D$18)^G30</f>
        <v>0.820643506306039</v>
      </c>
      <c r="H31" s="31" t="n">
        <f aca="false">1/(1+$D$18)^H30</f>
        <v>0.743415832407354</v>
      </c>
      <c r="I31" s="31" t="n">
        <f aca="false">1/(1+$D$18)^I30</f>
        <v>0.67345576444227</v>
      </c>
      <c r="J31" s="31" t="n">
        <f aca="false">1/(1+$D$18)^J30</f>
        <v>0.610079375350194</v>
      </c>
    </row>
    <row r="32" customFormat="false" ht="15" hidden="false" customHeight="false" outlineLevel="0" collapsed="false">
      <c r="B32" s="10" t="s">
        <v>113</v>
      </c>
      <c r="F32" s="17" t="n">
        <f aca="false">F29*F31</f>
        <v>2444.55813706022</v>
      </c>
      <c r="G32" s="17" t="n">
        <f aca="false">G29*G31</f>
        <v>2500.57097922028</v>
      </c>
      <c r="H32" s="17" t="n">
        <f aca="false">H29*H31</f>
        <v>2492.17366405372</v>
      </c>
      <c r="I32" s="17" t="n">
        <f aca="false">I29*I31</f>
        <v>2467.52790023427</v>
      </c>
      <c r="J32" s="17" t="n">
        <f aca="false">J29*J31</f>
        <v>2379.90390539033</v>
      </c>
    </row>
    <row r="35" customFormat="false" ht="15" hidden="false" customHeight="false" outlineLevel="0" collapsed="false">
      <c r="B35" s="21" t="s">
        <v>114</v>
      </c>
    </row>
    <row r="36" customFormat="false" ht="15" hidden="false" customHeight="false" outlineLevel="0" collapsed="false">
      <c r="B36" s="6" t="s">
        <v>24</v>
      </c>
      <c r="D36" s="25" t="n">
        <f aca="false">Drivers!D32</f>
        <v>0.03</v>
      </c>
    </row>
    <row r="37" customFormat="false" ht="15" hidden="false" customHeight="false" outlineLevel="0" collapsed="false">
      <c r="B37" s="6" t="s">
        <v>115</v>
      </c>
      <c r="D37" s="15" t="n">
        <f aca="false">J29*(1+D36)/(D18-D36)</f>
        <v>54383.9152646882</v>
      </c>
    </row>
    <row r="38" customFormat="false" ht="15" hidden="false" customHeight="false" outlineLevel="0" collapsed="false">
      <c r="B38" s="6" t="s">
        <v>116</v>
      </c>
      <c r="D38" s="15" t="n">
        <f aca="false">D37*J31</f>
        <v>33178.5050537788</v>
      </c>
    </row>
    <row r="39" customFormat="false" ht="15" hidden="false" customHeight="false" outlineLevel="0" collapsed="false">
      <c r="B39" s="6" t="s">
        <v>117</v>
      </c>
      <c r="D39" s="15" t="n">
        <f aca="false">SUM(F32:J32)</f>
        <v>12284.7345859588</v>
      </c>
    </row>
    <row r="40" customFormat="false" ht="15" hidden="false" customHeight="false" outlineLevel="0" collapsed="false">
      <c r="B40" s="10" t="s">
        <v>118</v>
      </c>
      <c r="D40" s="32" t="n">
        <f aca="false">D38+D39</f>
        <v>45463.2396397377</v>
      </c>
    </row>
    <row r="41" customFormat="false" ht="15" hidden="false" customHeight="false" outlineLevel="0" collapsed="false">
      <c r="B41" s="6" t="s">
        <v>119</v>
      </c>
      <c r="D41" s="24" t="n">
        <f aca="false">'Balance Sheet'!E8+'Balance Sheet'!E9</f>
        <v>10611</v>
      </c>
    </row>
    <row r="42" customFormat="false" ht="15" hidden="false" customHeight="false" outlineLevel="0" collapsed="false">
      <c r="B42" s="6" t="s">
        <v>120</v>
      </c>
      <c r="D42" s="24" t="n">
        <f aca="false">-'Balance Sheet'!E23</f>
        <v>-1995</v>
      </c>
    </row>
    <row r="43" customFormat="false" ht="15" hidden="false" customHeight="false" outlineLevel="0" collapsed="false">
      <c r="B43" s="10" t="s">
        <v>121</v>
      </c>
      <c r="D43" s="18" t="n">
        <f aca="false">D40+D41+D42</f>
        <v>54079.2396397377</v>
      </c>
    </row>
    <row r="44" customFormat="false" ht="15" hidden="false" customHeight="false" outlineLevel="0" collapsed="false">
      <c r="B44" s="6" t="s">
        <v>122</v>
      </c>
      <c r="D44" s="24" t="n">
        <f aca="false">Drivers!D34</f>
        <v>635</v>
      </c>
    </row>
    <row r="45" customFormat="false" ht="15" hidden="false" customHeight="false" outlineLevel="0" collapsed="false">
      <c r="B45" s="10" t="s">
        <v>123</v>
      </c>
      <c r="D45" s="33" t="n">
        <f aca="false">D43/D44</f>
        <v>85.1641569129727</v>
      </c>
    </row>
    <row r="46" customFormat="false" ht="15" hidden="false" customHeight="false" outlineLevel="0" collapsed="false">
      <c r="B46" s="6" t="s">
        <v>124</v>
      </c>
      <c r="D46" s="34" t="n">
        <f aca="false">Drivers!D33</f>
        <v>126</v>
      </c>
    </row>
    <row r="47" customFormat="false" ht="15" hidden="false" customHeight="false" outlineLevel="0" collapsed="false">
      <c r="B47" s="10" t="s">
        <v>125</v>
      </c>
      <c r="D47" s="35" t="n">
        <f aca="false">D45/D46-1</f>
        <v>-0.324093992754185</v>
      </c>
    </row>
    <row r="50" customFormat="false" ht="15" hidden="false" customHeight="false" outlineLevel="0" collapsed="false">
      <c r="B50" s="21" t="s">
        <v>126</v>
      </c>
    </row>
    <row r="51" customFormat="false" ht="15" hidden="false" customHeight="false" outlineLevel="0" collapsed="false">
      <c r="D51" s="36" t="s">
        <v>127</v>
      </c>
      <c r="E51" s="37" t="n">
        <v>0.02</v>
      </c>
      <c r="F51" s="37" t="n">
        <v>0.025</v>
      </c>
      <c r="G51" s="37" t="n">
        <v>0.03</v>
      </c>
      <c r="H51" s="37" t="n">
        <v>0.035</v>
      </c>
      <c r="I51" s="37" t="n">
        <v>0.04</v>
      </c>
    </row>
    <row r="52" customFormat="false" ht="15" hidden="false" customHeight="false" outlineLevel="0" collapsed="false">
      <c r="D52" s="8" t="n">
        <v>0.09</v>
      </c>
      <c r="E52" s="38" t="n">
        <f aca="false">(((F$29/(1+$D52)^1+G$29/(1+$D52)^2+H$29/(1+$D52)^3+I$29/(1+$D52)^4+J$29/(1+$D52)^5)+(J$29*(1+E$51)/($D52-E$51))/(1+$D52)^5)+$D$41+$D$42)/$D$44</f>
        <v>91.8423532051436</v>
      </c>
      <c r="F52" s="38" t="n">
        <f aca="false">(((F$29/(1+$D52)^1+G$29/(1+$D52)^2+H$29/(1+$D52)^3+I$29/(1+$D52)^4+J$29/(1+$D52)^5)+(J$29*(1+F$51)/($D52-F$51))/(1+$D52)^5)+$D$41+$D$42)/$D$44</f>
        <v>96.6248200625394</v>
      </c>
      <c r="G52" s="38" t="n">
        <f aca="false">(((F$29/(1+$D52)^1+G$29/(1+$D52)^2+H$29/(1+$D52)^3+I$29/(1+$D52)^4+J$29/(1+$D52)^5)+(J$29*(1+G$51)/($D52-G$51))/(1+$D52)^5)+$D$41+$D$42)/$D$44</f>
        <v>102.204364729501</v>
      </c>
      <c r="H52" s="38" t="n">
        <f aca="false">(((F$29/(1+$D52)^1+G$29/(1+$D52)^2+H$29/(1+$D52)^3+I$29/(1+$D52)^4+J$29/(1+$D52)^5)+(J$29*(1+H$51)/($D52-H$51))/(1+$D52)^5)+$D$41+$D$42)/$D$44</f>
        <v>108.798372063183</v>
      </c>
      <c r="I52" s="38" t="n">
        <f aca="false">(((F$29/(1+$D52)^1+G$29/(1+$D52)^2+H$29/(1+$D52)^3+I$29/(1+$D52)^4+J$29/(1+$D52)^5)+(J$29*(1+I$51)/($D52-I$51))/(1+$D52)^5)+$D$41+$D$42)/$D$44</f>
        <v>116.711180863602</v>
      </c>
    </row>
    <row r="53" customFormat="false" ht="15" hidden="false" customHeight="false" outlineLevel="0" collapsed="false">
      <c r="D53" s="8" t="n">
        <v>0.095</v>
      </c>
      <c r="E53" s="38" t="n">
        <f aca="false">(((F$29/(1+$D53)^1+G$29/(1+$D53)^2+H$29/(1+$D53)^3+I$29/(1+$D53)^4+J$29/(1+$D53)^5)+(J$29*(1+E$51)/($D53-E$51))/(1+$D53)^5)+$D$41+$D$42)/$D$44</f>
        <v>86.4605854292156</v>
      </c>
      <c r="F53" s="38" t="n">
        <f aca="false">(((F$29/(1+$D53)^1+G$29/(1+$D53)^2+H$29/(1+$D53)^3+I$29/(1+$D53)^4+J$29/(1+$D53)^5)+(J$29*(1+F$51)/($D53-F$51))/(1+$D53)^5)+$D$41+$D$42)/$D$44</f>
        <v>90.5302027903973</v>
      </c>
      <c r="G53" s="38" t="n">
        <f aca="false">(((F$29/(1+$D53)^1+G$29/(1+$D53)^2+H$29/(1+$D53)^3+I$29/(1+$D53)^4+J$29/(1+$D53)^5)+(J$29*(1+G$51)/($D53-G$51))/(1+$D53)^5)+$D$41+$D$42)/$D$44</f>
        <v>95.2259151302224</v>
      </c>
      <c r="H53" s="38" t="n">
        <f aca="false">(((F$29/(1+$D53)^1+G$29/(1+$D53)^2+H$29/(1+$D53)^3+I$29/(1+$D53)^4+J$29/(1+$D53)^5)+(J$29*(1+H$51)/($D53-H$51))/(1+$D53)^5)+$D$41+$D$42)/$D$44</f>
        <v>100.704246193352</v>
      </c>
      <c r="I53" s="38" t="n">
        <f aca="false">(((F$29/(1+$D53)^1+G$29/(1+$D53)^2+H$29/(1+$D53)^3+I$29/(1+$D53)^4+J$29/(1+$D53)^5)+(J$29*(1+I$51)/($D53-I$51))/(1+$D53)^5)+$D$41+$D$42)/$D$44</f>
        <v>107.178637449777</v>
      </c>
    </row>
    <row r="54" customFormat="false" ht="15" hidden="false" customHeight="false" outlineLevel="0" collapsed="false">
      <c r="D54" s="8" t="n">
        <v>0.1</v>
      </c>
      <c r="E54" s="38" t="n">
        <f aca="false">(((F$29/(1+$D54)^1+G$29/(1+$D54)^2+H$29/(1+$D54)^3+I$29/(1+$D54)^4+J$29/(1+$D54)^5)+(J$29*(1+E$51)/($D54-E$51))/(1+$D54)^5)+$D$41+$D$42)/$D$44</f>
        <v>81.7541137613879</v>
      </c>
      <c r="F54" s="38" t="n">
        <f aca="false">(((F$29/(1+$D54)^1+G$29/(1+$D54)^2+H$29/(1+$D54)^3+I$29/(1+$D54)^4+J$29/(1+$D54)^5)+(J$29*(1+F$51)/($D54-F$51))/(1+$D54)^5)+$D$41+$D$42)/$D$44</f>
        <v>85.2507251394611</v>
      </c>
      <c r="G54" s="38" t="n">
        <f aca="false">(((F$29/(1+$D54)^1+G$29/(1+$D54)^2+H$29/(1+$D54)^3+I$29/(1+$D54)^4+J$29/(1+$D54)^5)+(J$29*(1+G$51)/($D54-G$51))/(1+$D54)^5)+$D$41+$D$42)/$D$44</f>
        <v>89.2468524286876</v>
      </c>
      <c r="H54" s="38" t="n">
        <f aca="false">(((F$29/(1+$D54)^1+G$29/(1+$D54)^2+H$29/(1+$D54)^3+I$29/(1+$D54)^4+J$29/(1+$D54)^5)+(J$29*(1+H$51)/($D54-H$51))/(1+$D54)^5)+$D$41+$D$42)/$D$44</f>
        <v>93.8577685316412</v>
      </c>
      <c r="I54" s="38" t="n">
        <f aca="false">(((F$29/(1+$D54)^1+G$29/(1+$D54)^2+H$29/(1+$D54)^3+I$29/(1+$D54)^4+J$29/(1+$D54)^5)+(J$29*(1+I$51)/($D54-I$51))/(1+$D54)^5)+$D$41+$D$42)/$D$44</f>
        <v>99.2371706517538</v>
      </c>
    </row>
    <row r="55" customFormat="false" ht="15" hidden="false" customHeight="false" outlineLevel="0" collapsed="false">
      <c r="D55" s="8" t="n">
        <v>0.105</v>
      </c>
      <c r="E55" s="38" t="n">
        <f aca="false">(((F$29/(1+$D55)^1+G$29/(1+$D55)^2+H$29/(1+$D55)^3+I$29/(1+$D55)^4+J$29/(1+$D55)^5)+(J$29*(1+E$51)/($D55-E$51))/(1+$D55)^5)+$D$41+$D$42)/$D$44</f>
        <v>77.6037137728655</v>
      </c>
      <c r="F55" s="38" t="n">
        <f aca="false">(((F$29/(1+$D55)^1+G$29/(1+$D55)^2+H$29/(1+$D55)^3+I$29/(1+$D55)^4+J$29/(1+$D55)^5)+(J$29*(1+F$51)/($D55-F$51))/(1+$D55)^5)+$D$41+$D$42)/$D$44</f>
        <v>80.633495434928</v>
      </c>
      <c r="G55" s="38" t="n">
        <f aca="false">(((F$29/(1+$D55)^1+G$29/(1+$D55)^2+H$29/(1+$D55)^3+I$29/(1+$D55)^4+J$29/(1+$D55)^5)+(J$29*(1+G$51)/($D55-G$51))/(1+$D55)^5)+$D$41+$D$42)/$D$44</f>
        <v>84.0672479852654</v>
      </c>
      <c r="H55" s="38" t="n">
        <f aca="false">(((F$29/(1+$D55)^1+G$29/(1+$D55)^2+H$29/(1+$D55)^3+I$29/(1+$D55)^4+J$29/(1+$D55)^5)+(J$29*(1+H$51)/($D55-H$51))/(1+$D55)^5)+$D$41+$D$42)/$D$44</f>
        <v>87.9915366142225</v>
      </c>
      <c r="I55" s="38" t="n">
        <f aca="false">(((F$29/(1+$D55)^1+G$29/(1+$D55)^2+H$29/(1+$D55)^3+I$29/(1+$D55)^4+J$29/(1+$D55)^5)+(J$29*(1+I$51)/($D55-I$51))/(1+$D55)^5)+$D$41+$D$42)/$D$44</f>
        <v>92.5195619553269</v>
      </c>
    </row>
    <row r="56" customFormat="false" ht="15" hidden="false" customHeight="false" outlineLevel="0" collapsed="false">
      <c r="D56" s="8" t="n">
        <v>0.11</v>
      </c>
      <c r="E56" s="38" t="n">
        <f aca="false">(((F$29/(1+$D56)^1+G$29/(1+$D56)^2+H$29/(1+$D56)^3+I$29/(1+$D56)^4+J$29/(1+$D56)^5)+(J$29*(1+E$51)/($D56-E$51))/(1+$D56)^5)+$D$41+$D$42)/$D$44</f>
        <v>73.9166567774289</v>
      </c>
      <c r="F56" s="38" t="n">
        <f aca="false">(((F$29/(1+$D56)^1+G$29/(1+$D56)^2+H$29/(1+$D56)^3+I$29/(1+$D56)^4+J$29/(1+$D56)^5)+(J$29*(1+F$51)/($D56-F$51))/(1+$D56)^5)+$D$41+$D$42)/$D$44</f>
        <v>76.5615978893149</v>
      </c>
      <c r="G56" s="38" t="n">
        <f aca="false">(((F$29/(1+$D56)^1+G$29/(1+$D56)^2+H$29/(1+$D56)^3+I$29/(1+$D56)^4+J$29/(1+$D56)^5)+(J$29*(1+G$51)/($D56-G$51))/(1+$D56)^5)+$D$41+$D$42)/$D$44</f>
        <v>79.5371566401866</v>
      </c>
      <c r="H56" s="38" t="n">
        <f aca="false">(((F$29/(1+$D56)^1+G$29/(1+$D56)^2+H$29/(1+$D56)^3+I$29/(1+$D56)^4+J$29/(1+$D56)^5)+(J$29*(1+H$51)/($D56-H$51))/(1+$D56)^5)+$D$41+$D$42)/$D$44</f>
        <v>82.9094565578413</v>
      </c>
      <c r="I56" s="38" t="n">
        <f aca="false">(((F$29/(1+$D56)^1+G$29/(1+$D56)^2+H$29/(1+$D56)^3+I$29/(1+$D56)^4+J$29/(1+$D56)^5)+(J$29*(1+I$51)/($D56-I$51))/(1+$D56)^5)+$D$41+$D$42)/$D$44</f>
        <v>86.7635136065894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2026-06-23T19:35:15Z</dcterms:created>
  <dc:creator>openpyxl</dc:creator>
  <dc:description/>
  <dc:language>en-US</dc:language>
  <cp:lastModifiedBy/>
  <dcterms:modified xsi:type="dcterms:W3CDTF">2026-06-23T19:35:15Z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