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6435fe3f6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93208e9de0340e9"/>
    <x:sheet xmlns:r="http://schemas.openxmlformats.org/officeDocument/2006/relationships" name="Sources" sheetId="2" r:id="R44c35d0c9ff64187"/>
    <x:sheet xmlns:r="http://schemas.openxmlformats.org/officeDocument/2006/relationships" name="Historical Actuals" sheetId="3" r:id="R7ee366d82a98466f"/>
    <x:sheet xmlns:r="http://schemas.openxmlformats.org/officeDocument/2006/relationships" name="Segment Detail" sheetId="4" r:id="R34b966f9eef84208"/>
    <x:sheet xmlns:r="http://schemas.openxmlformats.org/officeDocument/2006/relationships" name="Assumptions" sheetId="5" r:id="R6a877052be884f9d"/>
    <x:sheet xmlns:r="http://schemas.openxmlformats.org/officeDocument/2006/relationships" name="Model" sheetId="6" r:id="Rb131ebf695df4302"/>
    <x:sheet xmlns:r="http://schemas.openxmlformats.org/officeDocument/2006/relationships" name="DCF" sheetId="7" r:id="Rc852677513da4c28"/>
    <x:sheet xmlns:r="http://schemas.openxmlformats.org/officeDocument/2006/relationships" name="QA Checks" sheetId="8" r:id="R9af9c50e725b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$0.00;[Red]($0.00);-"/>
    <x:numFmt numFmtId="202" formatCode="0.0%;[Red](0.0%);-"/>
    <x:numFmt numFmtId="203" formatCode="0.00x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/>
    <x:xf numFmtId="200" fontId="4" fillId="5" borderId="1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/>
    </x:xf>
    <x:xf numFmtId="200" fontId="5" fillId="5" borderId="0" xfId="0" applyNumberFormat="1" applyFont="1" applyFill="1" applyBorder="1" applyAlignment="1">
      <x:alignment horizontal="left"/>
    </x:xf>
    <x:xf numFmtId="200" fontId="5" fillId="5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202" fontId="3" fillId="6" borderId="0" xfId="0" applyNumberFormat="1" applyFont="1" applyFill="1" applyBorder="1"/>
    <x:xf numFmtId="202" fontId="3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7" fillId="5" borderId="0" xfId="0" applyNumberFormat="1" applyFont="1" applyFill="1" applyBorder="1" applyAlignment="1">
      <x:alignment horizontal="left"/>
    </x:xf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200" fontId="7" fillId="5" borderId="1" xfId="0" applyNumberFormat="1" applyFont="1" applyFill="1" applyBorder="1" applyAlignment="1">
      <x:alignment horizontal="left"/>
    </x:xf>
    <x:xf numFmtId="200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2" fillId="5" borderId="0" xfId="0" applyNumberFormat="1" applyFont="1" applyFill="1" applyBorder="1" applyAlignment="1">
      <x:alignment horizontal="left"/>
    </x:xf>
    <x:xf numFmtId="200" fontId="8" fillId="0" borderId="1" xfId="0" applyNumberFormat="1" applyFont="1" applyFill="1" applyBorder="1"/>
    <x:xf numFmtId="202" fontId="8" fillId="0" borderId="1" xfId="0" applyNumberFormat="1" applyFont="1" applyFill="1" applyBorder="1"/>
    <x:xf numFmtId="200" fontId="2" fillId="5" borderId="1" xfId="0" applyNumberFormat="1" applyFont="1" applyFill="1" applyBorder="1" applyAlignment="1">
      <x:alignment horizontal="left"/>
    </x:xf>
    <x:xf numFmtId="202" fontId="2" fillId="4" borderId="0" xfId="0" applyNumberFormat="1" applyFont="1" applyFill="1" applyBorder="1" applyAlignment="1">
      <x:alignment horizontal="center"/>
    </x:xf>
    <x:xf numFmtId="202" fontId="2" fillId="4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801491f5c42f8" /><Relationship Type="http://schemas.openxmlformats.org/officeDocument/2006/relationships/theme" Target="/xl/theme/theme1.xml" Id="Re008b5568ae14174" /><Relationship Type="http://schemas.openxmlformats.org/officeDocument/2006/relationships/sharedStrings" Target="/xl/sharedStrings.xml" Id="Rcbf244b4907941a2" /><Relationship Type="http://schemas.openxmlformats.org/officeDocument/2006/relationships/worksheet" Target="/xl/worksheets/sheet1.xml" Id="Rd93208e9de0340e9" /><Relationship Type="http://schemas.openxmlformats.org/officeDocument/2006/relationships/worksheet" Target="/xl/worksheets/sheet2.xml" Id="R44c35d0c9ff64187" /><Relationship Type="http://schemas.openxmlformats.org/officeDocument/2006/relationships/worksheet" Target="/xl/worksheets/sheet3.xml" Id="R7ee366d82a98466f" /><Relationship Type="http://schemas.openxmlformats.org/officeDocument/2006/relationships/worksheet" Target="/xl/worksheets/sheet4.xml" Id="R34b966f9eef84208" /><Relationship Type="http://schemas.openxmlformats.org/officeDocument/2006/relationships/worksheet" Target="/xl/worksheets/sheet5.xml" Id="R6a877052be884f9d" /><Relationship Type="http://schemas.openxmlformats.org/officeDocument/2006/relationships/worksheet" Target="/xl/worksheets/sheet6.xml" Id="Rb131ebf695df4302" /><Relationship Type="http://schemas.openxmlformats.org/officeDocument/2006/relationships/worksheet" Target="/xl/worksheets/sheet7.xml" Id="Rc852677513da4c28" /><Relationship Type="http://schemas.openxmlformats.org/officeDocument/2006/relationships/worksheet" Target="/xl/worksheets/sheet8.xml" Id="R9af9c50e725b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0.880001068115234" hidden="0" customWidth="1"/>
    <x:col min="2" max="2" width="43.25" hidden="0" customWidth="1"/>
  </x:cols>
  <x:sheetData>
    <x:row r="1">
      <x:c r="A1" s="5" t="str">
        <x:v>Chevron Corporation (CVX) — Banker-Style EDGAR-Tied Model</x:v>
      </x:c>
      <x:c r="B1"/>
      <x:c r="C1"/>
      <x:c r="D1"/>
    </x:row>
    <x:row r="3">
      <x:c r="A3" s="11" t="str">
        <x:v>Company</x:v>
      </x:c>
      <x:c r="B3" s="14" t="str">
        <x:v>Chevron Corporation</x:v>
      </x:c>
    </x:row>
    <x:row r="4">
      <x:c r="A4" s="11" t="str">
        <x:v>Ticker</x:v>
      </x:c>
      <x:c r="B4" s="14" t="str">
        <x:v>CVX</x:v>
      </x:c>
    </x:row>
    <x:row r="5">
      <x:c r="A5" s="11" t="str">
        <x:v>Model type</x:v>
      </x:c>
      <x:c r="B5" s="14" t="str">
        <x:v>Integrated historical actuals + forecast assumptions + DCF</x:v>
      </x:c>
    </x:row>
    <x:row r="6">
      <x:c r="A6" s="11" t="str">
        <x:v>Historical source standard</x:v>
      </x:c>
      <x:c r="B6" s="14" t="str">
        <x:v>Hardcoded actuals tied to EDGAR / SEC filing data</x:v>
      </x:c>
    </x:row>
    <x:row r="7">
      <x:c r="A7" s="11" t="str">
        <x:v>Forecast standard</x:v>
      </x:c>
      <x:c r="B7" s="14" t="str">
        <x:v>Formula-driven assumptions; not factual actuals</x:v>
      </x:c>
    </x:row>
    <x:row r="8">
      <x:c r="A8" s="11" t="str">
        <x:v>Base filing</x:v>
      </x:c>
      <x:c r="B8" s="14" t="str">
        <x:v>FY2025 Form 10-K, period ended Dec. 31, 2025</x:v>
      </x:c>
    </x:row>
    <x:row r="9">
      <x:c r="A9" s="11" t="str">
        <x:v>Currency / units</x:v>
      </x:c>
      <x:c r="B9" s="14" t="str">
        <x:v>$ in millions, except per-share and operational metrics</x:v>
      </x:c>
    </x:row>
    <x:row r="10">
      <x:c r="A10" s="11" t="str">
        <x:v>Prepared for</x:v>
      </x:c>
      <x:c r="B10" s="14" t="str">
        <x:v>Ryan Anden financial modeling portfolio</x:v>
      </x:c>
    </x:row>
    <x:row r="11">
      <x:c r="A11" s="11" t="str">
        <x:v>Status</x:v>
      </x:c>
      <x:c r="B11" s="14" t="str">
        <x:v>Chevron rebuild after Uber model</x:v>
      </x:c>
    </x:row>
    <x:row r="12">
      <x:c r="A12" s="11" t="str">
        <x:v>Last updated</x:v>
      </x:c>
      <x:c r="B12" s="14" t="str">
        <x:v>2026-06-24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7.75" hidden="0" customWidth="1"/>
    <x:col min="3" max="3" width="33.130001068115234" hidden="0" customWidth="1"/>
    <x:col min="4" max="4" width="81.25" hidden="0" customWidth="1"/>
    <x:col min="5" max="5" width="44.75" hidden="0" customWidth="1"/>
    <x:col min="6" max="6" width="77.25" hidden="0" customWidth="1"/>
  </x:cols>
  <x:sheetData>
    <x:row r="1" ht="24" customHeight="1">
      <x:c r="A1" s="22" t="str">
        <x:v>Source ID</x:v>
      </x:c>
      <x:c r="B1" s="22" t="str">
        <x:v>Company</x:v>
      </x:c>
      <x:c r="C1" s="22" t="str">
        <x:v>Filing / Source</x:v>
      </x:c>
      <x:c r="D1" s="22" t="str">
        <x:v>URL</x:v>
      </x:c>
      <x:c r="E1" s="22" t="str">
        <x:v>Use in model</x:v>
      </x:c>
      <x:c r="F1" s="22" t="str">
        <x:v>Notes</x:v>
      </x:c>
    </x:row>
    <x:row r="2">
      <x:c r="A2" t="str">
        <x:v>CVX-2025-10K</x:v>
      </x:c>
      <x:c r="B2" t="str">
        <x:v>Chevron</x:v>
      </x:c>
      <x:c r="C2" t="str">
        <x:v>FY2025 Form 10-K, SEC EDGAR filing detail</x:v>
      </x:c>
      <x:c r="D2" t="str">
        <x:v>https://www.sec.gov/Archives/edgar/data/93410/000009341026000078/0000093410-26-000078-index.htm</x:v>
      </x:c>
      <x:c r="E2" t="str">
        <x:v>Primary historical source for 2025 and filing confirmation</x:v>
      </x:c>
      <x:c r="F2" t="str">
        <x:v>SEC index confirms 10-K accession 0000093410-26-000078, filed 2026-02-24, period 2025-12-31.</x:v>
      </x:c>
    </x:row>
    <x:row r="3">
      <x:c r="A3" t="str">
        <x:v>CVX-2025-10K-HTML</x:v>
      </x:c>
      <x:c r="B3" t="str">
        <x:v>Chevron</x:v>
      </x:c>
      <x:c r="C3" t="str">
        <x:v>FY2025 Form 10-K primary document</x:v>
      </x:c>
      <x:c r="D3" t="str">
        <x:v>https://www.sec.gov/Archives/edgar/data/93410/000009341026000078/cvx-20251231.htm</x:v>
      </x:c>
      <x:c r="E3" t="str">
        <x:v>Income statement, balance sheet, cash flow, segment notes</x:v>
      </x:c>
      <x:c r="F3" t="str">
        <x:v>Used as the EDGAR source of record.</x:v>
      </x:c>
    </x:row>
    <x:row r="4">
      <x:c r="A4" t="str">
        <x:v>CVX-2025-Q4-8K</x:v>
      </x:c>
      <x:c r="B4" t="str">
        <x:v>Chevron</x:v>
      </x:c>
      <x:c r="C4" t="str">
        <x:v>FY2025 Q4 earnings release exhibit</x:v>
      </x:c>
      <x:c r="D4" t="str">
        <x:v>https://www.sec.gov/Archives/edgar/data/93410/000009341026000019/a12312025ex9918-k.htm</x:v>
      </x:c>
      <x:c r="E4" t="str">
        <x:v>Earnings/cash-flow summary and 2025 segment earnings</x:v>
      </x:c>
      <x:c r="F4" t="str">
        <x:v>Used only where it matches / supplements the annual filing data.</x:v>
      </x:c>
    </x:row>
    <x:row r="5">
      <x:c r="A5" t="str">
        <x:v>CVX-2024-10K</x:v>
      </x:c>
      <x:c r="B5" t="str">
        <x:v>Chevron</x:v>
      </x:c>
      <x:c r="C5" t="str">
        <x:v>FY2024 Form 10-K primary document</x:v>
      </x:c>
      <x:c r="D5" t="str">
        <x:v>https://www.sec.gov/Archives/edgar/data/93410/000009341025000009/cvx-20241231.htm</x:v>
      </x:c>
      <x:c r="E5" t="str">
        <x:v>2023-2024 balance sheet and historical comparisons</x:v>
      </x:c>
      <x:c r="F5" t="str">
        <x:v>Used for 2023 and 2024 tie-outs.</x:v>
      </x:c>
    </x:row>
    <x:row r="6">
      <x:c r="A6" t="str">
        <x:v>CVX-SEC-COMPANYFACTS</x:v>
      </x:c>
      <x:c r="B6" t="str">
        <x:v>Chevron</x:v>
      </x:c>
      <x:c r="C6" t="str">
        <x:v>SEC XBRL companyfacts for CIK 0000093410</x:v>
      </x:c>
      <x:c r="D6" t="str">
        <x:v>https://data.sec.gov/api/xbrl/companyfacts/CIK0000093410.json</x:v>
      </x:c>
      <x:c r="E6" t="str">
        <x:v>Standardized annual actuals cross-check</x:v>
      </x:c>
      <x:c r="F6" t="str">
        <x:v>Used as cross-check for revenue, net income, CFO, capex, dividends, buybacks, assets, liabilities, equity.</x:v>
      </x:c>
    </x:row>
    <x:row r="7">
      <x:c r="A7" t="str">
        <x:v>CVX-2025-SUPPLEMENT</x:v>
      </x:c>
      <x:c r="B7" t="str">
        <x:v>Chevron</x:v>
      </x:c>
      <x:c r="C7" t="str">
        <x:v>2025 Supplement to Annual Report</x:v>
      </x:c>
      <x:c r="D7" t="str">
        <x:v>https://www.chevron.com/-/media/shared-media/documents/2025-chevron-annual-report-supplement.pdf</x:v>
      </x:c>
      <x:c r="E7" t="str">
        <x:v>Line-item statement presentation and debt/capital metrics</x:v>
      </x:c>
      <x:c r="F7" t="str">
        <x:v>Company-published supplement to annual report; used as an auxiliary source.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.25" hidden="0" customWidth="1"/>
    <x:col min="2" max="2" width="8.5" hidden="0" customWidth="1"/>
    <x:col min="3" max="3" width="8.5" hidden="0" customWidth="1"/>
    <x:col min="4" max="4" width="8.5" hidden="0" customWidth="1"/>
    <x:col min="5" max="5" width="44" hidden="0" customWidth="1"/>
  </x:cols>
  <x:sheetData>
    <x:row r="1">
      <x:c r="A1" s="18" t="str">
        <x:v>$ in millions unless stated otherwise</x:v>
      </x:c>
      <x:c r="B1" s="18" t="str">
        <x:v>2023A</x:v>
      </x:c>
      <x:c r="C1" s="18" t="str">
        <x:v>2024A</x:v>
      </x:c>
      <x:c r="D1" s="18" t="str">
        <x:v>2025A</x:v>
      </x:c>
      <x:c r="E1" s="22" t="str">
        <x:v>Source / tie-out note</x:v>
      </x:c>
    </x:row>
    <x:row r="2">
      <x:c r="A2" s="26" t="str">
        <x:v>Income Statement</x:v>
      </x:c>
      <x:c r="B2" s="26"/>
      <x:c r="C2" s="26"/>
      <x:c r="D2" s="26"/>
      <x:c r="E2" s="26"/>
    </x:row>
    <x:row r="3">
      <x:c r="A3" t="str">
        <x:v>Sales and other operating revenues</x:v>
      </x:c>
      <x:c r="B3" s="30" t="n">
        <x:v>196913</x:v>
      </x:c>
      <x:c r="C3" s="30" t="n">
        <x:v>193414</x:v>
      </x:c>
      <x:c r="D3" s="30" t="n">
        <x:v>184432</x:v>
      </x:c>
      <x:c r="E3" t="str">
        <x:v>10-K / annual supplement. 2025 total sales and other operating revenues = $184,432mm.</x:v>
      </x:c>
    </x:row>
    <x:row r="4">
      <x:c r="A4" t="str">
        <x:v>Income from equity affiliates</x:v>
      </x:c>
      <x:c r="B4" s="30" t="n">
        <x:v>5131</x:v>
      </x:c>
      <x:c r="C4" s="30" t="n">
        <x:v>4596</x:v>
      </x:c>
      <x:c r="D4" s="30" t="n">
        <x:v>3000</x:v>
      </x:c>
      <x:c r="E4" t="str">
        <x:v>10-K / annual supplement.</x:v>
      </x:c>
    </x:row>
    <x:row r="5">
      <x:c r="A5" t="str">
        <x:v>Other income / (loss)</x:v>
      </x:c>
      <x:c r="B5" s="30" t="n">
        <x:v>-1095</x:v>
      </x:c>
      <x:c r="C5" s="30" t="n">
        <x:v>4782</x:v>
      </x:c>
      <x:c r="D5" s="30" t="n">
        <x:v>1599</x:v>
      </x:c>
      <x:c r="E5" t="str">
        <x:v>10-K / annual supplement.</x:v>
      </x:c>
    </x:row>
    <x:row r="6">
      <x:c r="A6" t="str">
        <x:v>Total revenues and other income</x:v>
      </x:c>
      <x:c r="B6" s="30" t="n">
        <x:v>200949</x:v>
      </x:c>
      <x:c r="C6" s="30" t="n">
        <x:v>202792</x:v>
      </x:c>
      <x:c r="D6" s="30" t="n">
        <x:v>189031</x:v>
      </x:c>
      <x:c r="E6" t="str">
        <x:v>Formula should equal sum of revenue, equity affiliates, other income.</x:v>
      </x:c>
    </x:row>
    <x:row r="7">
      <x:c r="A7" t="str">
        <x:v>Purchased crude oil and products</x:v>
      </x:c>
      <x:c r="B7" s="30" t="n">
        <x:v>-119196</x:v>
      </x:c>
      <x:c r="C7" s="30" t="n">
        <x:v>-119206</x:v>
      </x:c>
      <x:c r="D7" s="30" t="n">
        <x:v>-108214</x:v>
      </x:c>
      <x:c r="E7" t="str">
        <x:v>10-K / annual supplement.</x:v>
      </x:c>
    </x:row>
    <x:row r="8">
      <x:c r="A8" t="str">
        <x:v>Operating expenses</x:v>
      </x:c>
      <x:c r="B8" s="30" t="n">
        <x:v>-24887</x:v>
      </x:c>
      <x:c r="C8" s="30" t="n">
        <x:v>-27464</x:v>
      </x:c>
      <x:c r="D8" s="30" t="n">
        <x:v>-28005</x:v>
      </x:c>
      <x:c r="E8" t="str">
        <x:v>10-K / annual supplement.</x:v>
      </x:c>
    </x:row>
    <x:row r="9">
      <x:c r="A9" t="str">
        <x:v>Selling, general and administrative expenses</x:v>
      </x:c>
      <x:c r="B9" s="30" t="n">
        <x:v>-4141</x:v>
      </x:c>
      <x:c r="C9" s="30" t="n">
        <x:v>-4834</x:v>
      </x:c>
      <x:c r="D9" s="30" t="n">
        <x:v>-5126</x:v>
      </x:c>
      <x:c r="E9" t="str">
        <x:v>10-K / annual supplement.</x:v>
      </x:c>
    </x:row>
    <x:row r="10">
      <x:c r="A10" t="str">
        <x:v>Exploration expenses</x:v>
      </x:c>
      <x:c r="B10" s="30" t="n">
        <x:v>-914</x:v>
      </x:c>
      <x:c r="C10" s="30" t="n">
        <x:v>-995</x:v>
      </x:c>
      <x:c r="D10" s="30" t="n">
        <x:v>-1051</x:v>
      </x:c>
      <x:c r="E10" t="str">
        <x:v>10-K / annual supplement.</x:v>
      </x:c>
    </x:row>
    <x:row r="11">
      <x:c r="A11" t="str">
        <x:v>Depreciation, depletion and amortization</x:v>
      </x:c>
      <x:c r="B11" s="30" t="n">
        <x:v>-17326</x:v>
      </x:c>
      <x:c r="C11" s="30" t="n">
        <x:v>-17282</x:v>
      </x:c>
      <x:c r="D11" s="30" t="n">
        <x:v>-20132</x:v>
      </x:c>
      <x:c r="E11" t="str">
        <x:v>10-K / annual supplement.</x:v>
      </x:c>
    </x:row>
    <x:row r="12">
      <x:c r="A12" t="str">
        <x:v>Taxes other than on income</x:v>
      </x:c>
      <x:c r="B12" s="30" t="n">
        <x:v>-4220</x:v>
      </x:c>
      <x:c r="C12" s="30" t="n">
        <x:v>-4716</x:v>
      </x:c>
      <x:c r="D12" s="30" t="n">
        <x:v>-5230</x:v>
      </x:c>
      <x:c r="E12" t="str">
        <x:v>10-K / annual supplement.</x:v>
      </x:c>
    </x:row>
    <x:row r="13">
      <x:c r="A13" t="str">
        <x:v>Interest and debt expense</x:v>
      </x:c>
      <x:c r="B13" s="30" t="n">
        <x:v>-469</x:v>
      </x:c>
      <x:c r="C13" s="30" t="n">
        <x:v>-594</x:v>
      </x:c>
      <x:c r="D13" s="30" t="n">
        <x:v>-1217</x:v>
      </x:c>
      <x:c r="E13" t="str">
        <x:v>10-K / annual supplement.</x:v>
      </x:c>
    </x:row>
    <x:row r="14">
      <x:c r="A14" t="str">
        <x:v>Other components of net periodic benefit costs</x:v>
      </x:c>
      <x:c r="B14" s="30" t="n">
        <x:v>-212</x:v>
      </x:c>
      <x:c r="C14" s="30" t="n">
        <x:v>-195</x:v>
      </x:c>
      <x:c r="D14" s="30" t="n">
        <x:v>-313</x:v>
      </x:c>
      <x:c r="E14" t="str">
        <x:v>10-K / annual supplement. 2025 value derived to reconcile total costs.</x:v>
      </x:c>
    </x:row>
    <x:row r="15">
      <x:c r="A15" t="str">
        <x:v>Total costs and other deductions</x:v>
      </x:c>
      <x:c r="B15" s="30" t="n">
        <x:v>-171365</x:v>
      </x:c>
      <x:c r="C15" s="30" t="n">
        <x:v>-175286</x:v>
      </x:c>
      <x:c r="D15" s="30" t="n">
        <x:v>-169288</x:v>
      </x:c>
      <x:c r="E15" t="str">
        <x:v>Formula should equal sum of cost/deduction lines.</x:v>
      </x:c>
    </x:row>
    <x:row r="16">
      <x:c r="A16" t="str">
        <x:v>Income before income tax expense</x:v>
      </x:c>
      <x:c r="B16" s="30" t="n">
        <x:v>29584</x:v>
      </x:c>
      <x:c r="C16" s="30" t="n">
        <x:v>27506</x:v>
      </x:c>
      <x:c r="D16" s="30" t="n">
        <x:v>19743</x:v>
      </x:c>
      <x:c r="E16" t="str">
        <x:v>10-K / annual supplement.</x:v>
      </x:c>
    </x:row>
    <x:row r="17">
      <x:c r="A17" t="str">
        <x:v>Income tax expense</x:v>
      </x:c>
      <x:c r="B17" s="30" t="n">
        <x:v>-8173</x:v>
      </x:c>
      <x:c r="C17" s="30" t="n">
        <x:v>-9757</x:v>
      </x:c>
      <x:c r="D17" s="30" t="n">
        <x:v>-7258</x:v>
      </x:c>
      <x:c r="E17" t="str">
        <x:v>10-K / annual supplement.</x:v>
      </x:c>
    </x:row>
    <x:row r="18">
      <x:c r="A18" t="str">
        <x:v>Net income</x:v>
      </x:c>
      <x:c r="B18" s="30" t="n">
        <x:v>21411</x:v>
      </x:c>
      <x:c r="C18" s="30" t="n">
        <x:v>17749</x:v>
      </x:c>
      <x:c r="D18" s="30" t="n">
        <x:v>12485</x:v>
      </x:c>
      <x:c r="E18" t="str">
        <x:v>10-K / annual supplement; before noncontrolling interests.</x:v>
      </x:c>
    </x:row>
    <x:row r="19">
      <x:c r="A19" t="str">
        <x:v>Less: net income attributable to noncontrolling interests</x:v>
      </x:c>
      <x:c r="B19" s="30" t="n">
        <x:v>-42</x:v>
      </x:c>
      <x:c r="C19" s="30" t="n">
        <x:v>-88</x:v>
      </x:c>
      <x:c r="D19" s="30" t="n">
        <x:v>-186</x:v>
      </x:c>
      <x:c r="E19" t="str">
        <x:v>10-K / annual supplement; 2025 inferred from net income less net income attributable to Chevron.</x:v>
      </x:c>
    </x:row>
    <x:row r="20">
      <x:c r="A20" t="str">
        <x:v>Net income attributable to Chevron Corporation</x:v>
      </x:c>
      <x:c r="B20" s="32" t="n">
        <x:v>21369</x:v>
      </x:c>
      <x:c r="C20" s="32" t="n">
        <x:v>17661</x:v>
      </x:c>
      <x:c r="D20" s="32" t="n">
        <x:v>12299</x:v>
      </x:c>
      <x:c r="E20" t="str">
        <x:v>10-K / annual supplement / SEC companyfacts.</x:v>
      </x:c>
    </x:row>
    <x:row r="21">
      <x:c r="A21" t="str">
        <x:v>Diluted EPS ($/share)</x:v>
      </x:c>
      <x:c r="B21" s="30" t="n">
        <x:v>11.36</x:v>
      </x:c>
      <x:c r="C21" s="30" t="n">
        <x:v>9.72</x:v>
      </x:c>
      <x:c r="D21" s="30" t="n">
        <x:v>6.63</x:v>
      </x:c>
      <x:c r="E21" t="str">
        <x:v>10-K / annual supplement / EPS table.</x:v>
      </x:c>
    </x:row>
    <x:row r="22">
      <x:c r="A22" t="str">
        <x:v>Diluted weighted average shares outstanding (mm)</x:v>
      </x:c>
      <x:c r="B22" t="n">
        <x:v>1881</x:v>
      </x:c>
      <x:c r="C22" t="n">
        <x:v>1817</x:v>
      </x:c>
      <x:c r="D22" t="n">
        <x:v>1856</x:v>
      </x:c>
      <x:c r="E22" t="str">
        <x:v>Calculated from net income attributable / diluted EPS; rounded.</x:v>
      </x:c>
    </x:row>
    <x:row r="23">
      <x:c r="A23"/>
      <x:c r="B23"/>
      <x:c r="C23"/>
      <x:c r="D23"/>
      <x:c r="E23"/>
    </x:row>
    <x:row r="24">
      <x:c r="A24" s="26" t="str">
        <x:v>Balance Sheet</x:v>
      </x:c>
      <x:c r="B24" s="26"/>
      <x:c r="C24" s="26"/>
      <x:c r="D24" s="26"/>
      <x:c r="E24" s="26"/>
    </x:row>
    <x:row r="25">
      <x:c r="A25" t="str">
        <x:v>Cash and cash equivalents</x:v>
      </x:c>
      <x:c r="B25" s="30" t="n">
        <x:v>8178</x:v>
      </x:c>
      <x:c r="C25" s="30" t="n">
        <x:v>6781</x:v>
      </x:c>
      <x:c r="D25" s="30" t="n">
        <x:v>6297</x:v>
      </x:c>
      <x:c r="E25" t="str">
        <x:v>10-K balance sheet / filings. 2025 cross-checked to cash assets sources.</x:v>
      </x:c>
    </x:row>
    <x:row r="26">
      <x:c r="A26" t="str">
        <x:v>Time deposits / marketable securities</x:v>
      </x:c>
      <x:c r="B26" s="30" t="n">
        <x:v>45</x:v>
      </x:c>
      <x:c r="C26" s="30" t="n">
        <x:v>4</x:v>
      </x:c>
      <x:c r="D26" s="30" t="n">
        <x:v>174</x:v>
      </x:c>
      <x:c r="E26" t="str">
        <x:v>10-K / debt-ratio source; included for net debt / liquidity cross-check.</x:v>
      </x:c>
    </x:row>
    <x:row r="27">
      <x:c r="A27" t="str">
        <x:v>Accounts and notes receivable, net</x:v>
      </x:c>
      <x:c r="B27" s="30" t="n">
        <x:v>19921</x:v>
      </x:c>
      <x:c r="C27" s="30" t="n">
        <x:v>20684</x:v>
      </x:c>
      <x:c r="D27" s="30" t="n">
        <x:v>18075</x:v>
      </x:c>
      <x:c r="E27" t="str">
        <x:v>2023-2024 10-K; 2025 annual balance sheet source cross-check.</x:v>
      </x:c>
    </x:row>
    <x:row r="28">
      <x:c r="A28" t="str">
        <x:v>Inventories</x:v>
      </x:c>
      <x:c r="B28" s="30" t="n">
        <x:v>8612</x:v>
      </x:c>
      <x:c r="C28" s="30" t="n">
        <x:v>9074</x:v>
      </x:c>
      <x:c r="D28" s="30" t="n">
        <x:v>9711</x:v>
      </x:c>
      <x:c r="E28" t="str">
        <x:v>2023-2024 10-K; 2025 annual balance sheet source cross-check.</x:v>
      </x:c>
    </x:row>
    <x:row r="29">
      <x:c r="A29" t="str">
        <x:v>Prepaid expenses and other current assets</x:v>
      </x:c>
      <x:c r="B29" s="30" t="n">
        <x:v>4372</x:v>
      </x:c>
      <x:c r="C29" s="30" t="n">
        <x:v>4368</x:v>
      </x:c>
      <x:c r="D29" s="30" t="n">
        <x:v>4295</x:v>
      </x:c>
      <x:c r="E29" t="str">
        <x:v>2023-2024 10-K; 2025 annual current assets reconciliation.</x:v>
      </x:c>
    </x:row>
    <x:row r="30">
      <x:c r="A30" t="str">
        <x:v>Total current assets</x:v>
      </x:c>
      <x:c r="B30" s="30" t="n">
        <x:v>41128</x:v>
      </x:c>
      <x:c r="C30" s="30" t="n">
        <x:v>40911</x:v>
      </x:c>
      <x:c r="D30" s="30" t="n">
        <x:v>38552</x:v>
      </x:c>
      <x:c r="E30" t="str">
        <x:v>10-K / balance sheet cross-check.</x:v>
      </x:c>
    </x:row>
    <x:row r="31">
      <x:c r="A31" t="str">
        <x:v>Long-term receivables, net</x:v>
      </x:c>
      <x:c r="B31" s="30" t="n">
        <x:v>942</x:v>
      </x:c>
      <x:c r="C31" s="30" t="n">
        <x:v>877</x:v>
      </x:c>
      <x:c r="D31" s="30" t="n">
        <x:v>1069</x:v>
      </x:c>
      <x:c r="E31" t="str">
        <x:v>10-K / annual financial supplement.</x:v>
      </x:c>
    </x:row>
    <x:row r="32">
      <x:c r="A32" t="str">
        <x:v>Investments and advances</x:v>
      </x:c>
      <x:c r="B32" s="30" t="n">
        <x:v>46812</x:v>
      </x:c>
      <x:c r="C32" s="30" t="n">
        <x:v>47438</x:v>
      </x:c>
      <x:c r="D32" s="30" t="n">
        <x:v>43867</x:v>
      </x:c>
      <x:c r="E32" t="str">
        <x:v>10-K / annual balance sheet source cross-check.</x:v>
      </x:c>
    </x:row>
    <x:row r="33">
      <x:c r="A33" t="str">
        <x:v>Properties, plant and equipment, net</x:v>
      </x:c>
      <x:c r="B33" s="30" t="n">
        <x:v>148775</x:v>
      </x:c>
      <x:c r="C33" s="30" t="n">
        <x:v>147799</x:v>
      </x:c>
      <x:c r="D33" s="30" t="n">
        <x:v>219729</x:v>
      </x:c>
      <x:c r="E33" t="str">
        <x:v>10-K / annual balance sheet; 2025 includes Hess acquisition step-up.</x:v>
      </x:c>
    </x:row>
    <x:row r="34">
      <x:c r="A34" t="str">
        <x:v>Deferred charges and other assets / goodwill / HFS</x:v>
      </x:c>
      <x:c r="B34" s="30" t="n">
        <x:v>23975</x:v>
      </x:c>
      <x:c r="C34" s="30" t="n">
        <x:v>19913</x:v>
      </x:c>
      <x:c r="D34" s="30" t="n">
        <x:v>20795</x:v>
      </x:c>
      <x:c r="E34" t="str">
        <x:v>Calculated residual to total assets after sourced line items.</x:v>
      </x:c>
    </x:row>
    <x:row r="35">
      <x:c r="A35" t="str">
        <x:v>Total assets</x:v>
      </x:c>
      <x:c r="B35" s="30" t="n">
        <x:v>261632</x:v>
      </x:c>
      <x:c r="C35" s="30" t="n">
        <x:v>256938</x:v>
      </x:c>
      <x:c r="D35" s="30" t="n">
        <x:v>324012</x:v>
      </x:c>
      <x:c r="E35" t="str">
        <x:v>SEC companyfacts / 10-K balance sheet.</x:v>
      </x:c>
    </x:row>
    <x:row r="36">
      <x:c r="A36" t="str">
        <x:v>Short-term debt</x:v>
      </x:c>
      <x:c r="B36" s="30" t="n">
        <x:v>529</x:v>
      </x:c>
      <x:c r="C36" s="30" t="n">
        <x:v>4406</x:v>
      </x:c>
      <x:c r="D36" s="30" t="n">
        <x:v>977</x:v>
      </x:c>
      <x:c r="E36" t="str">
        <x:v>10-K / annual debt reconciliation.</x:v>
      </x:c>
    </x:row>
    <x:row r="37">
      <x:c r="A37" t="str">
        <x:v>Accounts payable</x:v>
      </x:c>
      <x:c r="B37" s="30" t="n">
        <x:v>20423</x:v>
      </x:c>
      <x:c r="C37" s="30" t="n">
        <x:v>22079</x:v>
      </x:c>
      <x:c r="D37" s="30" t="n">
        <x:v>19280</x:v>
      </x:c>
      <x:c r="E37" t="str">
        <x:v>10-K / annual balance sheet source cross-check.</x:v>
      </x:c>
    </x:row>
    <x:row r="38">
      <x:c r="A38" t="str">
        <x:v>Accrued liabilities</x:v>
      </x:c>
      <x:c r="B38" s="30" t="n">
        <x:v>9443</x:v>
      </x:c>
      <x:c r="C38" s="30" t="n">
        <x:v>8486</x:v>
      </x:c>
      <x:c r="D38" s="30" t="n">
        <x:v>12286</x:v>
      </x:c>
      <x:c r="E38" t="str">
        <x:v>10-K / annual balance sheet source cross-check.</x:v>
      </x:c>
    </x:row>
    <x:row r="39">
      <x:c r="A39" t="str">
        <x:v>Federal and other taxes on income</x:v>
      </x:c>
      <x:c r="B39" s="30" t="n">
        <x:v>1863</x:v>
      </x:c>
      <x:c r="C39" s="30" t="n">
        <x:v>1872</x:v>
      </x:c>
      <x:c r="D39" s="30" t="n">
        <x:v>844</x:v>
      </x:c>
      <x:c r="E39" t="str">
        <x:v>10-K / annual balance sheet source cross-check.</x:v>
      </x:c>
    </x:row>
    <x:row r="40">
      <x:c r="A40" t="str">
        <x:v>Other taxes payable</x:v>
      </x:c>
      <x:c r="B40" s="30" t="n">
        <x:v>1715</x:v>
      </x:c>
      <x:c r="C40" s="30" t="n">
        <x:v>1715</x:v>
      </x:c>
      <x:c r="D40" s="30" t="n">
        <x:v>0</x:v>
      </x:c>
      <x:c r="E40" t="str">
        <x:v>2023-2024 10-K; 2025 included within other current liabilities from source provider if not separately shown.</x:v>
      </x:c>
    </x:row>
    <x:row r="41">
      <x:c r="A41" t="str">
        <x:v>Total current liabilities</x:v>
      </x:c>
      <x:c r="B41" s="30" t="n">
        <x:v>32258</x:v>
      </x:c>
      <x:c r="C41" s="30" t="n">
        <x:v>38558</x:v>
      </x:c>
      <x:c r="D41" s="30" t="n">
        <x:v>33387</x:v>
      </x:c>
      <x:c r="E41" t="str">
        <x:v>10-K / annual balance sheet cross-check.</x:v>
      </x:c>
    </x:row>
    <x:row r="42">
      <x:c r="A42" t="str">
        <x:v>Long-term debt</x:v>
      </x:c>
      <x:c r="B42" s="30" t="n">
        <x:v>20307</x:v>
      </x:c>
      <x:c r="C42" s="30" t="n">
        <x:v>20135</x:v>
      </x:c>
      <x:c r="D42" s="30" t="n">
        <x:v>39781</x:v>
      </x:c>
      <x:c r="E42" t="str">
        <x:v>10-K / annual debt reconciliation.</x:v>
      </x:c>
    </x:row>
    <x:row r="43">
      <x:c r="A43" t="str">
        <x:v>Deferred credits and other noncurrent obligations</x:v>
      </x:c>
      <x:c r="B43" s="30" t="n">
        <x:v>24226</x:v>
      </x:c>
      <x:c r="C43" s="30" t="n">
        <x:v>22094</x:v>
      </x:c>
      <x:c r="D43" s="30" t="n">
        <x:v>23437</x:v>
      </x:c>
      <x:c r="E43" t="str">
        <x:v>2023-2024 10-K; 2025 residual within noncurrent liabilities.</x:v>
      </x:c>
    </x:row>
    <x:row r="44">
      <x:c r="A44" t="str">
        <x:v>Noncurrent deferred income taxes</x:v>
      </x:c>
      <x:c r="B44" s="30" t="n">
        <x:v>18830</x:v>
      </x:c>
      <x:c r="C44" s="30" t="n">
        <x:v>19137</x:v>
      </x:c>
      <x:c r="D44" s="30" t="n">
        <x:v>54757</x:v>
      </x:c>
      <x:c r="E44" t="str">
        <x:v>10-K / annual balance sheet source cross-check.</x:v>
      </x:c>
    </x:row>
    <x:row r="45">
      <x:c r="A45" t="str">
        <x:v>Noncurrent employee benefit plans</x:v>
      </x:c>
      <x:c r="B45" s="30" t="n">
        <x:v>4082</x:v>
      </x:c>
      <x:c r="C45" s="30" t="n">
        <x:v>3857</x:v>
      </x:c>
      <x:c r="D45" s="30" t="n">
        <x:v>4111</x:v>
      </x:c>
      <x:c r="E45" t="str">
        <x:v>10-K / annual balance sheet source cross-check.</x:v>
      </x:c>
    </x:row>
    <x:row r="46">
      <x:c r="A46" t="str">
        <x:v>Total liabilities</x:v>
      </x:c>
      <x:c r="B46" s="30" t="n">
        <x:v>99703</x:v>
      </x:c>
      <x:c r="C46" s="30" t="n">
        <x:v>103781</x:v>
      </x:c>
      <x:c r="D46" s="30" t="n">
        <x:v>131836</x:v>
      </x:c>
      <x:c r="E46" t="str">
        <x:v>SEC companyfacts / 10-K balance sheet.</x:v>
      </x:c>
    </x:row>
    <x:row r="47">
      <x:c r="A47" t="str">
        <x:v>Total Chevron Corporation stockholders' equity</x:v>
      </x:c>
      <x:c r="B47" s="30" t="n">
        <x:v>160957</x:v>
      </x:c>
      <x:c r="C47" s="30" t="n">
        <x:v>152318</x:v>
      </x:c>
      <x:c r="D47" s="30" t="n">
        <x:v>186450</x:v>
      </x:c>
      <x:c r="E47" t="str">
        <x:v>SEC companyfacts / 10-K balance sheet.</x:v>
      </x:c>
    </x:row>
    <x:row r="48">
      <x:c r="A48" t="str">
        <x:v>Noncontrolling interests</x:v>
      </x:c>
      <x:c r="B48" s="30" t="n">
        <x:v>972</x:v>
      </x:c>
      <x:c r="C48" s="30" t="n">
        <x:v>839</x:v>
      </x:c>
      <x:c r="D48" s="30" t="n">
        <x:v>5726</x:v>
      </x:c>
      <x:c r="E48" t="str">
        <x:v>Calculated as total equity less Chevron stockholders' equity.</x:v>
      </x:c>
    </x:row>
    <x:row r="49">
      <x:c r="A49" t="str">
        <x:v>Total equity</x:v>
      </x:c>
      <x:c r="B49" s="30" t="n">
        <x:v>161929</x:v>
      </x:c>
      <x:c r="C49" s="30" t="n">
        <x:v>153157</x:v>
      </x:c>
      <x:c r="D49" s="30" t="n">
        <x:v>192176</x:v>
      </x:c>
      <x:c r="E49" t="str">
        <x:v>Total assets less total liabilities.</x:v>
      </x:c>
    </x:row>
    <x:row r="50">
      <x:c r="A50" t="str">
        <x:v>Total liabilities and equity</x:v>
      </x:c>
      <x:c r="B50" s="30" t="n">
        <x:v>261632</x:v>
      </x:c>
      <x:c r="C50" s="30" t="n">
        <x:v>256938</x:v>
      </x:c>
      <x:c r="D50" s="30" t="n">
        <x:v>324012</x:v>
      </x:c>
      <x:c r="E50" t="str">
        <x:v>Balance sheet check should match total assets.</x:v>
      </x:c>
    </x:row>
    <x:row r="51">
      <x:c r="A51"/>
      <x:c r="B51" s="34"/>
      <x:c r="C51" s="34"/>
      <x:c r="D51" s="34"/>
      <x:c r="E51"/>
    </x:row>
    <x:row r="52">
      <x:c r="A52" t="str">
        <x:v>Cash Flow Statement</x:v>
      </x:c>
      <x:c r="B52" s="34"/>
      <x:c r="C52" s="34"/>
      <x:c r="D52" s="34"/>
      <x:c r="E52"/>
    </x:row>
    <x:row r="53">
      <x:c r="A53" s="26" t="str">
        <x:v>Net cash provided by operating activities</x:v>
      </x:c>
      <x:c r="B53" s="35" t="n">
        <x:v>35609</x:v>
      </x:c>
      <x:c r="C53" s="35" t="n">
        <x:v>31492</x:v>
      </x:c>
      <x:c r="D53" s="35" t="n">
        <x:v>33939</x:v>
      </x:c>
      <x:c r="E53" s="26" t="str">
        <x:v>SEC companyfacts / 10-K cash flow statement.</x:v>
      </x:c>
    </x:row>
    <x:row r="54">
      <x:c r="A54" t="str">
        <x:v>Capital expenditures</x:v>
      </x:c>
      <x:c r="B54" s="30" t="n">
        <x:v>-15829</x:v>
      </x:c>
      <x:c r="C54" s="30" t="n">
        <x:v>-16448</x:v>
      </x:c>
      <x:c r="D54" s="30" t="n">
        <x:v>-17347</x:v>
      </x:c>
      <x:c r="E54" t="str">
        <x:v>SEC companyfacts / 10-K cash flow statement.</x:v>
      </x:c>
    </x:row>
    <x:row r="55">
      <x:c r="A55" t="str">
        <x:v>Free cash flow</x:v>
      </x:c>
      <x:c r="B55" s="30" t="n">
        <x:v>19780</x:v>
      </x:c>
      <x:c r="C55" s="30" t="n">
        <x:v>15044</x:v>
      </x:c>
      <x:c r="D55" s="30" t="n">
        <x:v>16592</x:v>
      </x:c>
      <x:c r="E55" t="str">
        <x:v>Formula: CFO + capex.</x:v>
      </x:c>
    </x:row>
    <x:row r="56">
      <x:c r="A56" t="str">
        <x:v>Dividends paid</x:v>
      </x:c>
      <x:c r="B56" s="30" t="n">
        <x:v>-11336</x:v>
      </x:c>
      <x:c r="C56" s="30" t="n">
        <x:v>-11801</x:v>
      </x:c>
      <x:c r="D56" s="30" t="n">
        <x:v>-12751</x:v>
      </x:c>
      <x:c r="E56" t="str">
        <x:v>SEC companyfacts / 10-K cash flow statement.</x:v>
      </x:c>
    </x:row>
    <x:row r="57">
      <x:c r="A57" t="str">
        <x:v>Share repurchases</x:v>
      </x:c>
      <x:c r="B57" s="30" t="n">
        <x:v>-14939</x:v>
      </x:c>
      <x:c r="C57" s="30" t="n">
        <x:v>-15229</x:v>
      </x:c>
      <x:c r="D57" s="30" t="n">
        <x:v>-12079</x:v>
      </x:c>
      <x:c r="E57" t="str">
        <x:v>SEC companyfacts / 10-K cash flow statement.</x:v>
      </x:c>
    </x:row>
    <x:row r="58">
      <x:c r="A58" t="str">
        <x:v>Net cash provided by / (used in) investing activities</x:v>
      </x:c>
      <x:c r="B58" s="30" t="n">
        <x:v>-14032</x:v>
      </x:c>
      <x:c r="C58" s="30" t="n">
        <x:v>-15757</x:v>
      </x:c>
      <x:c r="D58" s="30" t="n">
        <x:v>-15908</x:v>
      </x:c>
      <x:c r="E58" t="str">
        <x:v>Cash flow statement / companyfacts cross-check.</x:v>
      </x:c>
    </x:row>
    <x:row r="59">
      <x:c r="A59" t="str">
        <x:v>Net cash provided by / (used in) financing activities</x:v>
      </x:c>
      <x:c r="B59" s="30" t="n">
        <x:v>-23604</x:v>
      </x:c>
      <x:c r="C59" s="30" t="n">
        <x:v>-23446</x:v>
      </x:c>
      <x:c r="D59" s="30" t="n">
        <x:v>-19064</x:v>
      </x:c>
      <x:c r="E59" t="str">
        <x:v>Cash flow statement / companyfacts cross-check.</x:v>
      </x:c>
    </x:row>
    <x:row r="60">
      <x:c r="B60" s="30"/>
      <x:c r="C60" s="30"/>
      <x:c r="D60" s="30"/>
    </x:row>
    <x:row r="61">
      <x:c r="B61" s="30"/>
      <x:c r="C61" s="30"/>
      <x:c r="D61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5" max="5" width="46.630001068115234" hidden="0" customWidth="1"/>
    <x:col min="1" max="1" width="38.25" hidden="0" customWidth="1"/>
    <x:col min="2" max="2" width="6.75" hidden="0" customWidth="1"/>
    <x:col min="3" max="3" width="6.75" hidden="0" customWidth="1"/>
    <x:col min="4" max="4" width="6.75" hidden="0" customWidth="1"/>
  </x:cols>
  <x:sheetData>
    <x:row r="1">
      <x:c r="A1" s="18" t="str">
        <x:v>$ in millions unless stated otherwise</x:v>
      </x:c>
      <x:c r="B1" s="18" t="str">
        <x:v>2023A</x:v>
      </x:c>
      <x:c r="C1" s="18" t="str">
        <x:v>2024A</x:v>
      </x:c>
      <x:c r="D1" s="18" t="str">
        <x:v>2025A</x:v>
      </x:c>
      <x:c r="E1" s="22" t="str">
        <x:v>Source / tie-out note</x:v>
      </x:c>
    </x:row>
    <x:row r="2">
      <x:c r="A2" s="26" t="str">
        <x:v>Segment Earnings</x:v>
      </x:c>
      <x:c r="B2" s="26"/>
      <x:c r="C2" s="26"/>
      <x:c r="D2" s="26"/>
      <x:c r="E2" s="26"/>
    </x:row>
    <x:row r="3">
      <x:c r="A3" t="str">
        <x:v>Upstream</x:v>
      </x:c>
      <x:c r="B3" s="30" t="n">
        <x:v>17438</x:v>
      </x:c>
      <x:c r="C3" s="30" t="n">
        <x:v>18602</x:v>
      </x:c>
      <x:c r="D3" s="30" t="n">
        <x:v>12822</x:v>
      </x:c>
      <x:c r="E3" t="str">
        <x:v>10-K Note 14 / earnings summary.</x:v>
      </x:c>
    </x:row>
    <x:row r="4">
      <x:c r="A4" t="str">
        <x:v>Downstream</x:v>
      </x:c>
      <x:c r="B4" s="30" t="n">
        <x:v>6137</x:v>
      </x:c>
      <x:c r="C4" s="30" t="n">
        <x:v>1727</x:v>
      </x:c>
      <x:c r="D4" s="30" t="n">
        <x:v>3022</x:v>
      </x:c>
      <x:c r="E4" t="str">
        <x:v>10-K Note 14 / earnings summary.</x:v>
      </x:c>
    </x:row>
    <x:row r="5">
      <x:c r="A5" t="str">
        <x:v>All Other</x:v>
      </x:c>
      <x:c r="B5" s="30" t="n">
        <x:v>-2206</x:v>
      </x:c>
      <x:c r="C5" s="30" t="n">
        <x:v>-2668</x:v>
      </x:c>
      <x:c r="D5" s="30" t="n">
        <x:v>-3545</x:v>
      </x:c>
      <x:c r="E5" t="str">
        <x:v>Total Chevron earnings less segment earnings.</x:v>
      </x:c>
    </x:row>
    <x:row r="6">
      <x:c r="A6" t="str">
        <x:v>Net income attributable to Chevron Corporation</x:v>
      </x:c>
      <x:c r="B6" s="30" t="n">
        <x:v>21369</x:v>
      </x:c>
      <x:c r="C6" s="30" t="n">
        <x:v>17661</x:v>
      </x:c>
      <x:c r="D6" s="30" t="n">
        <x:v>12299</x:v>
      </x:c>
      <x:c r="E6" t="str">
        <x:v>Ties to income statement.</x:v>
      </x:c>
    </x:row>
    <x:row r="7">
      <x:c r="A7"/>
      <x:c r="B7" s="30"/>
      <x:c r="C7" s="30"/>
      <x:c r="D7" s="30"/>
      <x:c r="E7"/>
    </x:row>
    <x:row r="8">
      <x:c r="A8" s="26" t="str">
        <x:v>Segment Sales and Other Operating Revenues</x:v>
      </x:c>
      <x:c r="B8" s="40"/>
      <x:c r="C8" s="40"/>
      <x:c r="D8" s="40"/>
      <x:c r="E8" s="26"/>
    </x:row>
    <x:row r="9">
      <x:c r="A9" t="str">
        <x:v>Upstream sales</x:v>
      </x:c>
      <x:c r="B9" s="30" t="n">
        <x:v>83920</x:v>
      </x:c>
      <x:c r="C9" s="30" t="n">
        <x:v>87768</x:v>
      </x:c>
      <x:c r="D9" s="30" t="n">
        <x:v>88379</x:v>
      </x:c>
      <x:c r="E9" t="str">
        <x:v>10-K Note 14 / reportable segment analysis.</x:v>
      </x:c>
    </x:row>
    <x:row r="10">
      <x:c r="A10" t="str">
        <x:v>Downstream sales</x:v>
      </x:c>
      <x:c r="B10" s="30" t="n">
        <x:v>161625</x:v>
      </x:c>
      <x:c r="C10" s="30" t="n">
        <x:v>157847</x:v>
      </x:c>
      <x:c r="D10" s="30" t="n">
        <x:v>142410</x:v>
      </x:c>
      <x:c r="E10" t="str">
        <x:v>10-K Note 14 / reportable segment analysis.</x:v>
      </x:c>
    </x:row>
    <x:row r="11">
      <x:c r="A11" t="str">
        <x:v>All Other / eliminations</x:v>
      </x:c>
      <x:c r="B11" s="30" t="n">
        <x:v>-88632</x:v>
      </x:c>
      <x:c r="C11" s="30" t="n">
        <x:v>-52201</x:v>
      </x:c>
      <x:c r="D11" s="30" t="n">
        <x:v>-46357</x:v>
      </x:c>
      <x:c r="E11" t="str">
        <x:v>Calculated to tie total sales and other operating revenues.</x:v>
      </x:c>
    </x:row>
    <x:row r="12">
      <x:c r="A12" t="str">
        <x:v>Total sales and other operating revenues</x:v>
      </x:c>
      <x:c r="B12" s="30" t="n">
        <x:v>196913</x:v>
      </x:c>
      <x:c r="C12" s="30" t="n">
        <x:v>193414</x:v>
      </x:c>
      <x:c r="D12" s="30" t="n">
        <x:v>184432</x:v>
      </x:c>
      <x:c r="E12" t="str">
        <x:v>Ties to income statement.</x:v>
      </x:c>
    </x:row>
    <x:row r="13">
      <x:c r="A13"/>
      <x:c r="B13" s="30"/>
      <x:c r="C13" s="30"/>
      <x:c r="D13" s="30"/>
      <x:c r="E13"/>
    </x:row>
    <x:row r="14">
      <x:c r="A14" s="26" t="str">
        <x:v>Commodity / operating drivers</x:v>
      </x:c>
      <x:c r="B14" s="40"/>
      <x:c r="C14" s="40"/>
      <x:c r="D14" s="40"/>
      <x:c r="E14" s="26"/>
    </x:row>
    <x:row r="15">
      <x:c r="A15" t="str">
        <x:v>Average Brent crude price ($/bbl)</x:v>
      </x:c>
      <x:c r="B15" s="30" t="n">
        <x:v>82</x:v>
      </x:c>
      <x:c r="C15" s="30" t="n">
        <x:v>81</x:v>
      </x:c>
      <x:c r="D15" s="30" t="n">
        <x:v>69</x:v>
      </x:c>
      <x:c r="E15" t="str">
        <x:v>MD&amp;A commodity price discussion.</x:v>
      </x:c>
    </x:row>
    <x:row r="16">
      <x:c r="A16" t="str">
        <x:v>Average WTI crude price ($/bbl)</x:v>
      </x:c>
      <x:c r="B16" s="30" t="n">
        <x:v>78</x:v>
      </x:c>
      <x:c r="C16" s="30" t="n">
        <x:v>76</x:v>
      </x:c>
      <x:c r="D16" s="30" t="n">
        <x:v>65</x:v>
      </x:c>
      <x:c r="E16" t="str">
        <x:v>MD&amp;A commodity price discussion.</x:v>
      </x:c>
    </x:row>
    <x:row r="17">
      <x:c r="A17" t="str">
        <x:v>Worldwide net oil-equivalent production (mboe/d)</x:v>
      </x:c>
      <x:c r="B17" s="30" t="n">
        <x:v>3099</x:v>
      </x:c>
      <x:c r="C17" s="30" t="n">
        <x:v>3294</x:v>
      </x:c>
      <x:c r="D17" s="30" t="n">
        <x:v>3700</x:v>
      </x:c>
      <x:c r="E17" t="str">
        <x:v>MD&amp;A production discussion; 2025 rounded to 3.7mm boe/d.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7" max="7" width="46.75" hidden="0" customWidth="1"/>
    <x:col min="1" max="1" width="28.3799991607666" hidden="0" customWidth="1"/>
    <x:col min="2" max="2" width="5.630000114440918" hidden="0" customWidth="1"/>
    <x:col min="3" max="3" width="5.130000114440918" hidden="0" customWidth="1"/>
    <x:col min="4" max="4" width="5.130000114440918" hidden="0" customWidth="1"/>
    <x:col min="5" max="5" width="5.130000114440918" hidden="0" customWidth="1"/>
    <x:col min="6" max="6" width="5.130000114440918" hidden="0" customWidth="1"/>
  </x:cols>
  <x:sheetData>
    <x:row r="1">
      <x:c r="A1" s="18" t="str">
        <x:v>Assumption</x:v>
      </x:c>
      <x:c r="B1" s="18" t="str">
        <x:v>2026E</x:v>
      </x:c>
      <x:c r="C1" s="18" t="str">
        <x:v>2027E</x:v>
      </x:c>
      <x:c r="D1" s="18" t="str">
        <x:v>2028E</x:v>
      </x:c>
      <x:c r="E1" s="18" t="str">
        <x:v>2029E</x:v>
      </x:c>
      <x:c r="F1" s="18" t="str">
        <x:v>2030E</x:v>
      </x:c>
      <x:c r="G1" s="22" t="str">
        <x:v>Notes</x:v>
      </x:c>
    </x:row>
    <x:row r="2">
      <x:c r="A2" t="str">
        <x:v>Sales growth</x:v>
      </x:c>
      <x:c r="B2" s="46" t="n">
        <x:v>0.03</x:v>
      </x:c>
      <x:c r="C2" s="46" t="n">
        <x:v>0.02</x:v>
      </x:c>
      <x:c r="D2" s="46" t="n">
        <x:v>0.02</x:v>
      </x:c>
      <x:c r="E2" s="46" t="n">
        <x:v>0.015</x:v>
      </x:c>
      <x:c r="F2" s="46" t="n">
        <x:v>0.015</x:v>
      </x:c>
      <x:c r="G2" t="str">
        <x:v>Forecast assumption; commodity-sensitive.</x:v>
      </x:c>
    </x:row>
    <x:row r="3">
      <x:c r="A3" t="str">
        <x:v>Equity affiliate income % sales</x:v>
      </x:c>
      <x:c r="B3" s="46" t="n">
        <x:v>0.018</x:v>
      </x:c>
      <x:c r="C3" s="46" t="n">
        <x:v>0.018</x:v>
      </x:c>
      <x:c r="D3" s="46" t="n">
        <x:v>0.018</x:v>
      </x:c>
      <x:c r="E3" s="46" t="n">
        <x:v>0.018</x:v>
      </x:c>
      <x:c r="F3" s="46" t="n">
        <x:v>0.018</x:v>
      </x:c>
      <x:c r="G3" t="str">
        <x:v>Normalizes toward historical levels.</x:v>
      </x:c>
    </x:row>
    <x:row r="4">
      <x:c r="A4" t="str">
        <x:v>Other income % sales</x:v>
      </x:c>
      <x:c r="B4" s="46" t="n">
        <x:v>0.005</x:v>
      </x:c>
      <x:c r="C4" s="46" t="n">
        <x:v>0.005</x:v>
      </x:c>
      <x:c r="D4" s="46" t="n">
        <x:v>0.005</x:v>
      </x:c>
      <x:c r="E4" s="46" t="n">
        <x:v>0.005</x:v>
      </x:c>
      <x:c r="F4" s="46" t="n">
        <x:v>0.005</x:v>
      </x:c>
      <x:c r="G4" t="str">
        <x:v>Forecast assumption.</x:v>
      </x:c>
    </x:row>
    <x:row r="5">
      <x:c r="A5" t="str">
        <x:v>Purchased crude/products % sales</x:v>
      </x:c>
      <x:c r="B5" s="46" t="n">
        <x:v>0.585</x:v>
      </x:c>
      <x:c r="C5" s="46" t="n">
        <x:v>0.585</x:v>
      </x:c>
      <x:c r="D5" s="46" t="n">
        <x:v>0.585</x:v>
      </x:c>
      <x:c r="E5" s="46" t="n">
        <x:v>0.585</x:v>
      </x:c>
      <x:c r="F5" s="46" t="n">
        <x:v>0.585</x:v>
      </x:c>
      <x:c r="G5" t="str">
        <x:v>Forecast assumption.</x:v>
      </x:c>
    </x:row>
    <x:row r="6">
      <x:c r="A6" t="str">
        <x:v>Operating expense % sales</x:v>
      </x:c>
      <x:c r="B6" s="46" t="n">
        <x:v>0.152</x:v>
      </x:c>
      <x:c r="C6" s="46" t="n">
        <x:v>0.152</x:v>
      </x:c>
      <x:c r="D6" s="46" t="n">
        <x:v>0.15</x:v>
      </x:c>
      <x:c r="E6" s="46" t="n">
        <x:v>0.149</x:v>
      </x:c>
      <x:c r="F6" s="46" t="n">
        <x:v>0.148</x:v>
      </x:c>
      <x:c r="G6" t="str">
        <x:v>Forecast assumption.</x:v>
      </x:c>
    </x:row>
    <x:row r="7">
      <x:c r="A7" t="str">
        <x:v>SG&amp;A % sales</x:v>
      </x:c>
      <x:c r="B7" s="46" t="n">
        <x:v>0.028</x:v>
      </x:c>
      <x:c r="C7" s="46" t="n">
        <x:v>0.028</x:v>
      </x:c>
      <x:c r="D7" s="46" t="n">
        <x:v>0.027</x:v>
      </x:c>
      <x:c r="E7" s="46" t="n">
        <x:v>0.027</x:v>
      </x:c>
      <x:c r="F7" s="46" t="n">
        <x:v>0.027</x:v>
      </x:c>
      <x:c r="G7" t="str">
        <x:v>Forecast assumption.</x:v>
      </x:c>
    </x:row>
    <x:row r="8">
      <x:c r="A8" t="str">
        <x:v>Exploration expense % sales</x:v>
      </x:c>
      <x:c r="B8" s="46" t="n">
        <x:v>0.006</x:v>
      </x:c>
      <x:c r="C8" s="46" t="n">
        <x:v>0.006</x:v>
      </x:c>
      <x:c r="D8" s="46" t="n">
        <x:v>0.006</x:v>
      </x:c>
      <x:c r="E8" s="46" t="n">
        <x:v>0.006</x:v>
      </x:c>
      <x:c r="F8" s="46" t="n">
        <x:v>0.006</x:v>
      </x:c>
      <x:c r="G8" t="str">
        <x:v>Forecast assumption.</x:v>
      </x:c>
    </x:row>
    <x:row r="9">
      <x:c r="A9" t="str">
        <x:v>DD&amp;A % sales</x:v>
      </x:c>
      <x:c r="B9" s="46" t="n">
        <x:v>0.105</x:v>
      </x:c>
      <x:c r="C9" s="46" t="n">
        <x:v>0.105</x:v>
      </x:c>
      <x:c r="D9" s="46" t="n">
        <x:v>0.104</x:v>
      </x:c>
      <x:c r="E9" s="46" t="n">
        <x:v>0.103</x:v>
      </x:c>
      <x:c r="F9" s="46" t="n">
        <x:v>0.102</x:v>
      </x:c>
      <x:c r="G9" t="str">
        <x:v>Forecast assumption.</x:v>
      </x:c>
    </x:row>
    <x:row r="10">
      <x:c r="A10" t="str">
        <x:v>Taxes other than income % sales</x:v>
      </x:c>
      <x:c r="B10" s="46" t="n">
        <x:v>0.028</x:v>
      </x:c>
      <x:c r="C10" s="46" t="n">
        <x:v>0.028</x:v>
      </x:c>
      <x:c r="D10" s="46" t="n">
        <x:v>0.028</x:v>
      </x:c>
      <x:c r="E10" s="46" t="n">
        <x:v>0.028</x:v>
      </x:c>
      <x:c r="F10" s="46" t="n">
        <x:v>0.028</x:v>
      </x:c>
      <x:c r="G10" t="str">
        <x:v>Forecast assumption.</x:v>
      </x:c>
    </x:row>
    <x:row r="11">
      <x:c r="A11" t="str">
        <x:v>Interest expense % average debt</x:v>
      </x:c>
      <x:c r="B11" s="46" t="n">
        <x:v>0.035</x:v>
      </x:c>
      <x:c r="C11" s="46" t="n">
        <x:v>0.035</x:v>
      </x:c>
      <x:c r="D11" s="46" t="n">
        <x:v>0.035</x:v>
      </x:c>
      <x:c r="E11" s="46" t="n">
        <x:v>0.035</x:v>
      </x:c>
      <x:c r="F11" s="46" t="n">
        <x:v>0.035</x:v>
      </x:c>
      <x:c r="G11" t="str">
        <x:v>Forecast assumption.</x:v>
      </x:c>
    </x:row>
    <x:row r="12">
      <x:c r="A12" t="str">
        <x:v>Tax rate</x:v>
      </x:c>
      <x:c r="B12" s="46" t="n">
        <x:v>0.37</x:v>
      </x:c>
      <x:c r="C12" s="46" t="n">
        <x:v>0.36</x:v>
      </x:c>
      <x:c r="D12" s="46" t="n">
        <x:v>0.36</x:v>
      </x:c>
      <x:c r="E12" s="46" t="n">
        <x:v>0.35</x:v>
      </x:c>
      <x:c r="F12" s="46" t="n">
        <x:v>0.35</x:v>
      </x:c>
      <x:c r="G12" t="str">
        <x:v>Forecast assumption based on historical effective tax rate.</x:v>
      </x:c>
    </x:row>
    <x:row r="13">
      <x:c r="A13" t="str">
        <x:v>Capex % sales</x:v>
      </x:c>
      <x:c r="B13" s="46" t="n">
        <x:v>0.095</x:v>
      </x:c>
      <x:c r="C13" s="46" t="n">
        <x:v>0.095</x:v>
      </x:c>
      <x:c r="D13" s="46" t="n">
        <x:v>0.092</x:v>
      </x:c>
      <x:c r="E13" s="46" t="n">
        <x:v>0.09</x:v>
      </x:c>
      <x:c r="F13" s="46" t="n">
        <x:v>0.09</x:v>
      </x:c>
      <x:c r="G13" t="str">
        <x:v>Forecast assumption; upstream capital intensity.</x:v>
      </x:c>
    </x:row>
    <x:row r="14">
      <x:c r="A14" t="str">
        <x:v>Working capital % sales</x:v>
      </x:c>
      <x:c r="B14" s="46" t="n">
        <x:v>0.028</x:v>
      </x:c>
      <x:c r="C14" s="46" t="n">
        <x:v>0.028</x:v>
      </x:c>
      <x:c r="D14" s="46" t="n">
        <x:v>0.028</x:v>
      </x:c>
      <x:c r="E14" s="46" t="n">
        <x:v>0.028</x:v>
      </x:c>
      <x:c r="F14" s="46" t="n">
        <x:v>0.028</x:v>
      </x:c>
      <x:c r="G14" t="str">
        <x:v>Forecast assumption.</x:v>
      </x:c>
    </x:row>
    <x:row r="15">
      <x:c r="A15" t="str">
        <x:v>WACC</x:v>
      </x:c>
      <x:c r="B15" s="46" t="n">
        <x:v>0.085</x:v>
      </x:c>
      <x:c r="C15" s="46" t="n">
        <x:v>0.085</x:v>
      </x:c>
      <x:c r="D15" s="46" t="n">
        <x:v>0.085</x:v>
      </x:c>
      <x:c r="E15" s="46" t="n">
        <x:v>0.085</x:v>
      </x:c>
      <x:c r="F15" s="46" t="n">
        <x:v>0.085</x:v>
      </x:c>
      <x:c r="G15" t="str">
        <x:v>Valuation assumption.</x:v>
      </x:c>
    </x:row>
    <x:row r="16">
      <x:c r="A16" t="str">
        <x:v>Terminal growth</x:v>
      </x:c>
      <x:c r="B16" s="46" t="n">
        <x:v>0.02</x:v>
      </x:c>
      <x:c r="C16" s="46" t="n">
        <x:v>0.02</x:v>
      </x:c>
      <x:c r="D16" s="46" t="n">
        <x:v>0.02</x:v>
      </x:c>
      <x:c r="E16" s="46" t="n">
        <x:v>0.02</x:v>
      </x:c>
      <x:c r="F16" s="46" t="n">
        <x:v>0.02</x:v>
      </x:c>
      <x:c r="G16" t="str">
        <x:v>Valuation assumption.</x:v>
      </x:c>
    </x:row>
    <x:row r="17">
      <x:c r="A17" t="str">
        <x:v>Net debt / (cash) for equity bridge</x:v>
      </x:c>
      <x:c r="B17" s="30" t="n">
        <x:v>34461</x:v>
      </x:c>
      <x:c r="C17"/>
      <x:c r="D17"/>
      <x:c r="E17"/>
      <x:c r="F17"/>
      <x:c r="G17" t="str">
        <x:v>2025 total debt less cash/time deposits/marketable securities.</x:v>
      </x:c>
    </x:row>
    <x:row r="18">
      <x:c r="A18" t="str">
        <x:v>Diluted shares for equity bridge (mm)</x:v>
      </x:c>
      <x:c r="B18" s="30" t="n">
        <x:v>1856</x:v>
      </x:c>
      <x:c r="C18"/>
      <x:c r="D18"/>
      <x:c r="E18"/>
      <x:c r="F18"/>
      <x:c r="G18" t="str">
        <x:v>2025 diluted weighted average shares, rounded.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.75" hidden="0" customWidth="1"/>
    <x:col min="3" max="3" width="7.75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</x:cols>
  <x:sheetData>
    <x:row r="1">
      <x:c r="A1" s="18" t="str">
        <x:v>$ in millions unless stated otherwise</x:v>
      </x:c>
      <x:c r="B1" s="18" t="str">
        <x:v>2023A</x:v>
      </x:c>
      <x:c r="C1" s="18" t="str">
        <x:v>2024A</x:v>
      </x:c>
      <x:c r="D1" s="18" t="str">
        <x:v>2025A</x:v>
      </x:c>
      <x:c r="E1" s="18" t="str">
        <x:v>2026E</x:v>
      </x:c>
      <x:c r="F1" s="18" t="str">
        <x:v>2027E</x:v>
      </x:c>
      <x:c r="G1" s="18" t="str">
        <x:v>2028E</x:v>
      </x:c>
      <x:c r="H1" s="18" t="str">
        <x:v>2029E</x:v>
      </x:c>
      <x:c r="I1" s="18" t="str">
        <x:v>2030E</x:v>
      </x:c>
    </x:row>
    <x:row r="2">
      <x:c r="A2" s="26" t="str">
        <x:v>Income Statement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t="str">
        <x:v>Sales and other operating revenues</x:v>
      </x:c>
      <x:c r="B3" s="50" t="n">
        <x:f>'Historical Actuals'!B3</x:f>
        <x:v>196913</x:v>
      </x:c>
      <x:c r="C3" s="50" t="n">
        <x:f>'Historical Actuals'!C3</x:f>
        <x:v>193414</x:v>
      </x:c>
      <x:c r="D3" s="50" t="n">
        <x:f>'Historical Actuals'!D3</x:f>
        <x:v>184432</x:v>
      </x:c>
      <x:c r="E3" s="56" t="n">
        <x:f>D3*(1+Assumptions!B2)</x:f>
        <x:v>189964.96</x:v>
      </x:c>
      <x:c r="F3" s="56" t="n">
        <x:f>E3*(1+Assumptions!C2)</x:f>
        <x:v>193764.2592</x:v>
      </x:c>
      <x:c r="G3" s="56" t="n">
        <x:f>F3*(1+Assumptions!D2)</x:f>
        <x:v>197639.544384</x:v>
      </x:c>
      <x:c r="H3" s="56" t="n">
        <x:f>G3*(1+Assumptions!E2)</x:f>
        <x:v>200604.13754976</x:v>
      </x:c>
      <x:c r="I3" s="56" t="n">
        <x:f>H3*(1+Assumptions!F2)</x:f>
        <x:v>203613.19961300638</x:v>
      </x:c>
    </x:row>
    <x:row r="4">
      <x:c r="A4" t="str">
        <x:v>Sales growth</x:v>
      </x:c>
      <x:c r="B4" s="51"/>
      <x:c r="C4" s="51" t="n">
        <x:f>C3/B3-1</x:f>
        <x:v>-0.017769268661794846</x:v>
      </x:c>
      <x:c r="D4" s="51" t="n">
        <x:f>D3/C3-1</x:f>
        <x:v>-0.046439244315302886</x:v>
      </x:c>
      <x:c r="E4" s="57" t="n">
        <x:f>E3/D3-1</x:f>
        <x:v>0.030000000000000027</x:v>
      </x:c>
      <x:c r="F4" s="57" t="n">
        <x:f>F3/E3-1</x:f>
        <x:v>0.020000000000000018</x:v>
      </x:c>
      <x:c r="G4" s="57" t="n">
        <x:f>G3/F3-1</x:f>
        <x:v>0.020000000000000018</x:v>
      </x:c>
      <x:c r="H4" s="57" t="n">
        <x:f>H3/G3-1</x:f>
        <x:v>0.014999999999999902</x:v>
      </x:c>
      <x:c r="I4" s="57" t="n">
        <x:f>I3/H3-1</x:f>
        <x:v>0.014999999999999902</x:v>
      </x:c>
    </x:row>
    <x:row r="5">
      <x:c r="A5" t="str">
        <x:v>Income from equity affiliates</x:v>
      </x:c>
      <x:c r="B5" s="50" t="n">
        <x:f>'Historical Actuals'!B4</x:f>
        <x:v>5131</x:v>
      </x:c>
      <x:c r="C5" s="50" t="n">
        <x:f>'Historical Actuals'!C4</x:f>
        <x:v>4596</x:v>
      </x:c>
      <x:c r="D5" s="50" t="n">
        <x:f>'Historical Actuals'!D4</x:f>
        <x:v>3000</x:v>
      </x:c>
      <x:c r="E5" s="56" t="n">
        <x:f>E3*Assumptions!B3</x:f>
        <x:v>3419.3692799999994</x:v>
      </x:c>
      <x:c r="F5" s="56" t="n">
        <x:f>F3*Assumptions!C3</x:f>
        <x:v>3487.7566656</x:v>
      </x:c>
      <x:c r="G5" s="56" t="n">
        <x:f>G3*Assumptions!D3</x:f>
        <x:v>3557.511798912</x:v>
      </x:c>
      <x:c r="H5" s="56" t="n">
        <x:f>H3*Assumptions!E3</x:f>
        <x:v>3610.8744758956796</x:v>
      </x:c>
      <x:c r="I5" s="56" t="n">
        <x:f>I3*Assumptions!F3</x:f>
        <x:v>3665.0375930341147</x:v>
      </x:c>
    </x:row>
    <x:row r="6">
      <x:c r="A6" t="str">
        <x:v>Other income / (loss)</x:v>
      </x:c>
      <x:c r="B6" s="50" t="n">
        <x:f>'Historical Actuals'!B5</x:f>
        <x:v>-1095</x:v>
      </x:c>
      <x:c r="C6" s="50" t="n">
        <x:f>'Historical Actuals'!C5</x:f>
        <x:v>4782</x:v>
      </x:c>
      <x:c r="D6" s="50" t="n">
        <x:f>'Historical Actuals'!D5</x:f>
        <x:v>1599</x:v>
      </x:c>
      <x:c r="E6" s="56" t="n">
        <x:f>E3*Assumptions!B4</x:f>
        <x:v>949.8248</x:v>
      </x:c>
      <x:c r="F6" s="56" t="n">
        <x:f>F3*Assumptions!C4</x:f>
        <x:v>968.8212960000001</x:v>
      </x:c>
      <x:c r="G6" s="56" t="n">
        <x:f>G3*Assumptions!D4</x:f>
        <x:v>988.19772192</x:v>
      </x:c>
      <x:c r="H6" s="56" t="n">
        <x:f>H3*Assumptions!E4</x:f>
        <x:v>1003.0206877488</x:v>
      </x:c>
      <x:c r="I6" s="56" t="n">
        <x:f>I3*Assumptions!F4</x:f>
        <x:v>1018.0659980650319</x:v>
      </x:c>
    </x:row>
    <x:row r="7">
      <x:c r="A7" t="str">
        <x:v>Total revenues and other income</x:v>
      </x:c>
      <x:c r="B7" s="50" t="n">
        <x:f>'Historical Actuals'!B6</x:f>
        <x:v>200949</x:v>
      </x:c>
      <x:c r="C7" s="50" t="n">
        <x:f>'Historical Actuals'!C6</x:f>
        <x:v>202792</x:v>
      </x:c>
      <x:c r="D7" s="50" t="n">
        <x:f>'Historical Actuals'!D6</x:f>
        <x:v>189031</x:v>
      </x:c>
      <x:c r="E7" s="56" t="n">
        <x:f>SUM(E3:E6)</x:f>
        <x:v>194334.18408</x:v>
      </x:c>
      <x:c r="F7" s="56" t="n">
        <x:f>SUM(F3:F6)</x:f>
        <x:v>198220.8571616</x:v>
      </x:c>
      <x:c r="G7" s="56" t="n">
        <x:f>SUM(G3:G6)</x:f>
        <x:v>202185.273904832</x:v>
      </x:c>
      <x:c r="H7" s="56" t="n">
        <x:f>SUM(H3:H6)</x:f>
        <x:v>205218.0477134045</x:v>
      </x:c>
      <x:c r="I7" s="56" t="n">
        <x:f>SUM(I3:I6)</x:f>
        <x:v>208296.31820410554</x:v>
      </x:c>
    </x:row>
    <x:row r="8">
      <x:c r="A8" t="str">
        <x:v>Purchased crude oil and products</x:v>
      </x:c>
      <x:c r="B8" s="50" t="n">
        <x:f>'Historical Actuals'!B7</x:f>
        <x:v>-119196</x:v>
      </x:c>
      <x:c r="C8" s="50" t="n">
        <x:f>'Historical Actuals'!C7</x:f>
        <x:v>-119206</x:v>
      </x:c>
      <x:c r="D8" s="50" t="n">
        <x:f>'Historical Actuals'!D7</x:f>
        <x:v>-108214</x:v>
      </x:c>
      <x:c r="E8" s="56" t="n">
        <x:f>-E3*Assumptions!B5</x:f>
        <x:v>-111129.50159999999</x:v>
      </x:c>
      <x:c r="F8" s="56" t="n">
        <x:f>-F3*Assumptions!C5</x:f>
        <x:v>-113352.091632</x:v>
      </x:c>
      <x:c r="G8" s="56" t="n">
        <x:f>-G3*Assumptions!D5</x:f>
        <x:v>-115619.13346463999</x:v>
      </x:c>
      <x:c r="H8" s="56" t="n">
        <x:f>-H3*Assumptions!E5</x:f>
        <x:v>-117353.42046660959</x:v>
      </x:c>
      <x:c r="I8" s="56" t="n">
        <x:f>-I3*Assumptions!F5</x:f>
        <x:v>-119113.72177360872</x:v>
      </x:c>
    </x:row>
    <x:row r="9">
      <x:c r="A9" t="str">
        <x:v>Operating expenses</x:v>
      </x:c>
      <x:c r="B9" s="50" t="n">
        <x:f>'Historical Actuals'!B8</x:f>
        <x:v>-24887</x:v>
      </x:c>
      <x:c r="C9" s="50" t="n">
        <x:f>'Historical Actuals'!C8</x:f>
        <x:v>-27464</x:v>
      </x:c>
      <x:c r="D9" s="50" t="n">
        <x:f>'Historical Actuals'!D8</x:f>
        <x:v>-28005</x:v>
      </x:c>
      <x:c r="E9" s="56" t="n">
        <x:f>-E3*Assumptions!B6</x:f>
        <x:v>-28874.673919999997</x:v>
      </x:c>
      <x:c r="F9" s="56" t="n">
        <x:f>-F3*Assumptions!C6</x:f>
        <x:v>-29452.1673984</x:v>
      </x:c>
      <x:c r="G9" s="56" t="n">
        <x:f>-G3*Assumptions!D6</x:f>
        <x:v>-29645.9316576</x:v>
      </x:c>
      <x:c r="H9" s="56" t="n">
        <x:f>-H3*Assumptions!E6</x:f>
        <x:v>-29890.016494914238</x:v>
      </x:c>
      <x:c r="I9" s="56" t="n">
        <x:f>-I3*Assumptions!F6</x:f>
        <x:v>-30134.753542724942</x:v>
      </x:c>
    </x:row>
    <x:row r="10">
      <x:c r="A10" t="str">
        <x:v>Selling, general and administrative expenses</x:v>
      </x:c>
      <x:c r="B10" s="50" t="n">
        <x:f>'Historical Actuals'!B9</x:f>
        <x:v>-4141</x:v>
      </x:c>
      <x:c r="C10" s="50" t="n">
        <x:f>'Historical Actuals'!C9</x:f>
        <x:v>-4834</x:v>
      </x:c>
      <x:c r="D10" s="50" t="n">
        <x:f>'Historical Actuals'!D9</x:f>
        <x:v>-5126</x:v>
      </x:c>
      <x:c r="E10" s="56" t="n">
        <x:f>-E3*Assumptions!B7</x:f>
        <x:v>-5319.01888</x:v>
      </x:c>
      <x:c r="F10" s="56" t="n">
        <x:f>-F3*Assumptions!C7</x:f>
        <x:v>-5425.3992576</x:v>
      </x:c>
      <x:c r="G10" s="56" t="n">
        <x:f>-G3*Assumptions!D7</x:f>
        <x:v>-5336.267698368</x:v>
      </x:c>
      <x:c r="H10" s="56" t="n">
        <x:f>-H3*Assumptions!E7</x:f>
        <x:v>-5416.31171384352</x:v>
      </x:c>
      <x:c r="I10" s="56" t="n">
        <x:f>-I3*Assumptions!F7</x:f>
        <x:v>-5497.556389551172</x:v>
      </x:c>
    </x:row>
    <x:row r="11">
      <x:c r="A11" t="str">
        <x:v>Exploration expenses</x:v>
      </x:c>
      <x:c r="B11" s="50" t="n">
        <x:f>'Historical Actuals'!B10</x:f>
        <x:v>-914</x:v>
      </x:c>
      <x:c r="C11" s="50" t="n">
        <x:f>'Historical Actuals'!C10</x:f>
        <x:v>-995</x:v>
      </x:c>
      <x:c r="D11" s="50" t="n">
        <x:f>'Historical Actuals'!D10</x:f>
        <x:v>-1051</x:v>
      </x:c>
      <x:c r="E11" s="56" t="n">
        <x:f>-E3*Assumptions!B8</x:f>
        <x:v>-1139.78976</x:v>
      </x:c>
      <x:c r="F11" s="56" t="n">
        <x:f>-F3*Assumptions!C8</x:f>
        <x:v>-1162.5855552</x:v>
      </x:c>
      <x:c r="G11" s="56" t="n">
        <x:f>-G3*Assumptions!D8</x:f>
        <x:v>-1185.837266304</x:v>
      </x:c>
      <x:c r="H11" s="56" t="n">
        <x:f>-H3*Assumptions!E8</x:f>
        <x:v>-1203.62482529856</x:v>
      </x:c>
      <x:c r="I11" s="56" t="n">
        <x:f>-I3*Assumptions!F8</x:f>
        <x:v>-1221.6791976780382</x:v>
      </x:c>
    </x:row>
    <x:row r="12">
      <x:c r="A12" t="str">
        <x:v>DD&amp;A</x:v>
      </x:c>
      <x:c r="B12" s="50" t="n">
        <x:f>'Historical Actuals'!B11</x:f>
        <x:v>-17326</x:v>
      </x:c>
      <x:c r="C12" s="50" t="n">
        <x:f>'Historical Actuals'!C11</x:f>
        <x:v>-17282</x:v>
      </x:c>
      <x:c r="D12" s="50" t="n">
        <x:f>'Historical Actuals'!D11</x:f>
        <x:v>-20132</x:v>
      </x:c>
      <x:c r="E12" s="56" t="n">
        <x:f>-E3*Assumptions!B9</x:f>
        <x:v>-19946.320799999998</x:v>
      </x:c>
      <x:c r="F12" s="56" t="n">
        <x:f>-F3*Assumptions!C9</x:f>
        <x:v>-20345.247216</x:v>
      </x:c>
      <x:c r="G12" s="56" t="n">
        <x:f>-G3*Assumptions!D9</x:f>
        <x:v>-20554.512615936</x:v>
      </x:c>
      <x:c r="H12" s="56" t="n">
        <x:f>-H3*Assumptions!E9</x:f>
        <x:v>-20662.22616762528</x:v>
      </x:c>
      <x:c r="I12" s="56" t="n">
        <x:f>-I3*Assumptions!F9</x:f>
        <x:v>-20768.54636052665</x:v>
      </x:c>
    </x:row>
    <x:row r="13">
      <x:c r="A13" t="str">
        <x:v>Taxes other than income</x:v>
      </x:c>
      <x:c r="B13" s="50" t="n">
        <x:f>'Historical Actuals'!B12</x:f>
        <x:v>-4220</x:v>
      </x:c>
      <x:c r="C13" s="50" t="n">
        <x:f>'Historical Actuals'!C12</x:f>
        <x:v>-4716</x:v>
      </x:c>
      <x:c r="D13" s="50" t="n">
        <x:f>'Historical Actuals'!D12</x:f>
        <x:v>-5230</x:v>
      </x:c>
      <x:c r="E13" s="56" t="n">
        <x:f>-E3*Assumptions!B10</x:f>
        <x:v>-5319.01888</x:v>
      </x:c>
      <x:c r="F13" s="56" t="n">
        <x:f>-F3*Assumptions!C10</x:f>
        <x:v>-5425.3992576</x:v>
      </x:c>
      <x:c r="G13" s="56" t="n">
        <x:f>-G3*Assumptions!D10</x:f>
        <x:v>-5533.9072427520005</x:v>
      </x:c>
      <x:c r="H13" s="56" t="n">
        <x:f>-H3*Assumptions!E10</x:f>
        <x:v>-5616.91585139328</x:v>
      </x:c>
      <x:c r="I13" s="56" t="n">
        <x:f>-I3*Assumptions!F10</x:f>
        <x:v>-5701.169589164178</x:v>
      </x:c>
    </x:row>
    <x:row r="14">
      <x:c r="A14" t="str">
        <x:v>Interest and debt expense</x:v>
      </x:c>
      <x:c r="B14" s="50" t="n">
        <x:f>'Historical Actuals'!B13</x:f>
        <x:v>-469</x:v>
      </x:c>
      <x:c r="C14" s="50" t="n">
        <x:f>'Historical Actuals'!C13</x:f>
        <x:v>-594</x:v>
      </x:c>
      <x:c r="D14" s="50" t="n">
        <x:f>'Historical Actuals'!D13</x:f>
        <x:v>-1217</x:v>
      </x:c>
      <x:c r="E14" s="56" t="n">
        <x:f>-AVERAGE(D32,E32)*Assumptions!B11</x:f>
        <x:v>-1426.5300000000002</x:v>
      </x:c>
      <x:c r="F14" s="56" t="n">
        <x:f>-AVERAGE(E32,F32)*Assumptions!C11</x:f>
        <x:v>-1426.5300000000002</x:v>
      </x:c>
      <x:c r="G14" s="56" t="n">
        <x:f>-AVERAGE(F32,G32)*Assumptions!D11</x:f>
        <x:v>-1426.5300000000002</x:v>
      </x:c>
      <x:c r="H14" s="56" t="n">
        <x:f>-AVERAGE(G32,H32)*Assumptions!E11</x:f>
        <x:v>-1426.5300000000002</x:v>
      </x:c>
      <x:c r="I14" s="56" t="n">
        <x:f>-AVERAGE(H32,I32)*Assumptions!F11</x:f>
        <x:v>-1426.5300000000002</x:v>
      </x:c>
    </x:row>
    <x:row r="15">
      <x:c r="A15" t="str">
        <x:v>Other components of net periodic benefit costs</x:v>
      </x:c>
      <x:c r="B15" s="50" t="n">
        <x:f>'Historical Actuals'!B14</x:f>
        <x:v>-212</x:v>
      </x:c>
      <x:c r="C15" s="50" t="n">
        <x:f>'Historical Actuals'!C14</x:f>
        <x:v>-195</x:v>
      </x:c>
      <x:c r="D15" s="50" t="n">
        <x:f>'Historical Actuals'!D14</x:f>
        <x:v>-313</x:v>
      </x:c>
      <x:c r="E15" s="56" t="n">
        <x:f>-E3*0.0015</x:f>
        <x:v>-284.94744</x:v>
      </x:c>
      <x:c r="F15" s="56" t="n">
        <x:f>-F3*0.0015</x:f>
        <x:v>-290.6463888</x:v>
      </x:c>
      <x:c r="G15" s="56" t="n">
        <x:f>-G3*0.0015</x:f>
        <x:v>-296.459316576</x:v>
      </x:c>
      <x:c r="H15" s="56" t="n">
        <x:f>-H3*0.0015</x:f>
        <x:v>-300.90620632464</x:v>
      </x:c>
      <x:c r="I15" s="56" t="n">
        <x:f>-I3*0.0015</x:f>
        <x:v>-305.41979941950956</x:v>
      </x:c>
    </x:row>
    <x:row r="16">
      <x:c r="A16" t="str">
        <x:v>Total costs and other deductions</x:v>
      </x:c>
      <x:c r="B16" s="50" t="n">
        <x:f>'Historical Actuals'!B15</x:f>
        <x:v>-171365</x:v>
      </x:c>
      <x:c r="C16" s="50" t="n">
        <x:f>'Historical Actuals'!C15</x:f>
        <x:v>-175286</x:v>
      </x:c>
      <x:c r="D16" s="50" t="n">
        <x:f>'Historical Actuals'!D15</x:f>
        <x:v>-169288</x:v>
      </x:c>
      <x:c r="E16" s="56" t="n">
        <x:f>SUM(E8:E15)</x:f>
        <x:v>-173439.80127999996</x:v>
      </x:c>
      <x:c r="F16" s="56" t="n">
        <x:f>SUM(F8:F15)</x:f>
        <x:v>-176880.06670559995</x:v>
      </x:c>
      <x:c r="G16" s="56" t="n">
        <x:f>SUM(G8:G15)</x:f>
        <x:v>-179598.57926217598</x:v>
      </x:c>
      <x:c r="H16" s="56" t="n">
        <x:f>SUM(H8:H15)</x:f>
        <x:v>-181869.9517260091</x:v>
      </x:c>
      <x:c r="I16" s="56" t="n">
        <x:f>SUM(I8:I15)</x:f>
        <x:v>-184169.3766526732</x:v>
      </x:c>
    </x:row>
    <x:row r="17">
      <x:c r="A17" t="str">
        <x:v>Income before income tax expense</x:v>
      </x:c>
      <x:c r="B17" s="50" t="n">
        <x:f>'Historical Actuals'!B16</x:f>
        <x:v>29584</x:v>
      </x:c>
      <x:c r="C17" s="50" t="n">
        <x:f>'Historical Actuals'!C16</x:f>
        <x:v>27506</x:v>
      </x:c>
      <x:c r="D17" s="50" t="n">
        <x:f>'Historical Actuals'!D16</x:f>
        <x:v>19743</x:v>
      </x:c>
      <x:c r="E17" s="56" t="n">
        <x:f>E7+E16</x:f>
        <x:v>20894.38280000005</x:v>
      </x:c>
      <x:c r="F17" s="56" t="n">
        <x:f>F7+F16</x:f>
        <x:v>21340.790456000046</x:v>
      </x:c>
      <x:c r="G17" s="56" t="n">
        <x:f>G7+G16</x:f>
        <x:v>22586.694642656017</x:v>
      </x:c>
      <x:c r="H17" s="56" t="n">
        <x:f>H7+H16</x:f>
        <x:v>23348.095987395383</x:v>
      </x:c>
      <x:c r="I17" s="56" t="n">
        <x:f>I7+I16</x:f>
        <x:v>24126.941551432334</x:v>
      </x:c>
    </x:row>
    <x:row r="18">
      <x:c r="A18" t="str">
        <x:v>Income tax expense</x:v>
      </x:c>
      <x:c r="B18" s="50" t="n">
        <x:f>'Historical Actuals'!B17</x:f>
        <x:v>-8173</x:v>
      </x:c>
      <x:c r="C18" s="50" t="n">
        <x:f>'Historical Actuals'!C17</x:f>
        <x:v>-9757</x:v>
      </x:c>
      <x:c r="D18" s="50" t="n">
        <x:f>'Historical Actuals'!D17</x:f>
        <x:v>-7258</x:v>
      </x:c>
      <x:c r="E18" s="56" t="n">
        <x:f>-E17*Assumptions!B12</x:f>
        <x:v>-7730.921636000018</x:v>
      </x:c>
      <x:c r="F18" s="56" t="n">
        <x:f>-F17*Assumptions!C12</x:f>
        <x:v>-7682.684564160017</x:v>
      </x:c>
      <x:c r="G18" s="56" t="n">
        <x:f>-G17*Assumptions!D12</x:f>
        <x:v>-8131.210071356166</x:v>
      </x:c>
      <x:c r="H18" s="56" t="n">
        <x:f>-H17*Assumptions!E12</x:f>
        <x:v>-8171.833595588384</x:v>
      </x:c>
      <x:c r="I18" s="56" t="n">
        <x:f>-I17*Assumptions!F12</x:f>
        <x:v>-8444.429543001317</x:v>
      </x:c>
    </x:row>
    <x:row r="19">
      <x:c r="A19" t="str">
        <x:v>Net income attributable to Chevron Corporation</x:v>
      </x:c>
      <x:c r="B19" s="50" t="n">
        <x:f>'Historical Actuals'!B20</x:f>
        <x:v>21369</x:v>
      </x:c>
      <x:c r="C19" s="50" t="n">
        <x:f>'Historical Actuals'!C20</x:f>
        <x:v>17661</x:v>
      </x:c>
      <x:c r="D19" s="50" t="n">
        <x:f>'Historical Actuals'!D20</x:f>
        <x:v>12299</x:v>
      </x:c>
      <x:c r="E19" s="56" t="n">
        <x:f>E17+E18</x:f>
        <x:v>13163.461164000033</x:v>
      </x:c>
      <x:c r="F19" s="56" t="n">
        <x:f>F17+F18</x:f>
        <x:v>13658.10589184003</x:v>
      </x:c>
      <x:c r="G19" s="56" t="n">
        <x:f>G17+G18</x:f>
        <x:v>14455.48457129985</x:v>
      </x:c>
      <x:c r="H19" s="56" t="n">
        <x:f>H17+H18</x:f>
        <x:v>15176.262391806998</x:v>
      </x:c>
      <x:c r="I19" s="56" t="n">
        <x:f>I17+I18</x:f>
        <x:v>15682.512008431017</x:v>
      </x:c>
    </x:row>
    <x:row r="20">
      <x:c r="A20"/>
      <x:c r="B20" s="50"/>
      <x:c r="C20" s="50"/>
      <x:c r="D20" s="50"/>
      <x:c r="E20" s="56"/>
      <x:c r="F20" s="56"/>
      <x:c r="G20" s="56"/>
      <x:c r="H20" s="56"/>
      <x:c r="I20" s="56"/>
    </x:row>
    <x:row r="21">
      <x:c r="A21" s="26" t="str">
        <x:v>Cash Flow / FCF</x:v>
      </x:c>
      <x:c r="B21" s="52"/>
      <x:c r="C21" s="52"/>
      <x:c r="D21" s="52"/>
      <x:c r="E21" s="58"/>
      <x:c r="F21" s="58"/>
      <x:c r="G21" s="58"/>
      <x:c r="H21" s="58"/>
      <x:c r="I21" s="58"/>
    </x:row>
    <x:row r="22">
      <x:c r="A22" t="str">
        <x:v>Net income attributable to Chevron Corporation</x:v>
      </x:c>
      <x:c r="B22" s="50" t="n">
        <x:f>'Historical Actuals'!B20</x:f>
        <x:v>21369</x:v>
      </x:c>
      <x:c r="C22" s="50" t="n">
        <x:f>'Historical Actuals'!C20</x:f>
        <x:v>17661</x:v>
      </x:c>
      <x:c r="D22" s="50" t="n">
        <x:f>'Historical Actuals'!D20</x:f>
        <x:v>12299</x:v>
      </x:c>
      <x:c r="E22" s="56" t="n">
        <x:f>E19</x:f>
        <x:v>13163.461164000033</x:v>
      </x:c>
      <x:c r="F22" s="56" t="n">
        <x:f>F19</x:f>
        <x:v>13658.10589184003</x:v>
      </x:c>
      <x:c r="G22" s="56" t="n">
        <x:f>G19</x:f>
        <x:v>14455.48457129985</x:v>
      </x:c>
      <x:c r="H22" s="56" t="n">
        <x:f>H19</x:f>
        <x:v>15176.262391806998</x:v>
      </x:c>
      <x:c r="I22" s="56" t="n">
        <x:f>I19</x:f>
        <x:v>15682.512008431017</x:v>
      </x:c>
    </x:row>
    <x:row r="23">
      <x:c r="A23" t="str">
        <x:v>DD&amp;A</x:v>
      </x:c>
      <x:c r="B23" s="50" t="n">
        <x:f>'Historical Actuals'!B11</x:f>
        <x:v>-17326</x:v>
      </x:c>
      <x:c r="C23" s="50" t="n">
        <x:f>'Historical Actuals'!C11</x:f>
        <x:v>-17282</x:v>
      </x:c>
      <x:c r="D23" s="50" t="n">
        <x:f>'Historical Actuals'!D11</x:f>
        <x:v>-20132</x:v>
      </x:c>
      <x:c r="E23" s="56" t="n">
        <x:f>-E12</x:f>
        <x:v>19946.320799999998</x:v>
      </x:c>
      <x:c r="F23" s="56" t="n">
        <x:f>-F12</x:f>
        <x:v>20345.247216</x:v>
      </x:c>
      <x:c r="G23" s="56" t="n">
        <x:f>-G12</x:f>
        <x:v>20554.512615936</x:v>
      </x:c>
      <x:c r="H23" s="56" t="n">
        <x:f>-H12</x:f>
        <x:v>20662.22616762528</x:v>
      </x:c>
      <x:c r="I23" s="56" t="n">
        <x:f>-I12</x:f>
        <x:v>20768.54636052665</x:v>
      </x:c>
    </x:row>
    <x:row r="24">
      <x:c r="A24" t="str">
        <x:v>Less: capital expenditures</x:v>
      </x:c>
      <x:c r="B24" s="50" t="n">
        <x:f>'Historical Actuals'!B54</x:f>
        <x:v>-15829</x:v>
      </x:c>
      <x:c r="C24" s="50" t="n">
        <x:f>'Historical Actuals'!C54</x:f>
        <x:v>-16448</x:v>
      </x:c>
      <x:c r="D24" s="50" t="n">
        <x:f>'Historical Actuals'!D54</x:f>
        <x:v>-17347</x:v>
      </x:c>
      <x:c r="E24" s="56" t="n">
        <x:f>-E3*Assumptions!B13</x:f>
        <x:v>-18046.6712</x:v>
      </x:c>
      <x:c r="F24" s="56" t="n">
        <x:f>-F3*Assumptions!C13</x:f>
        <x:v>-18407.604624</x:v>
      </x:c>
      <x:c r="G24" s="56" t="n">
        <x:f>-G3*Assumptions!D13</x:f>
        <x:v>-18182.838083328</x:v>
      </x:c>
      <x:c r="H24" s="56" t="n">
        <x:f>-H3*Assumptions!E13</x:f>
        <x:v>-18054.3723794784</x:v>
      </x:c>
      <x:c r="I24" s="56" t="n">
        <x:f>-I3*Assumptions!F13</x:f>
        <x:v>-18325.187965170575</x:v>
      </x:c>
    </x:row>
    <x:row r="25">
      <x:c r="A25" t="str">
        <x:v>Change in working capital / other</x:v>
      </x:c>
      <x:c r="B25" s="50" t="n">
        <x:f>'Historical Actuals'!B55-B22-B23-B24</x:f>
        <x:v>31566</x:v>
      </x:c>
      <x:c r="C25" s="50" t="n">
        <x:f>'Historical Actuals'!C55-C22-C23-C24</x:f>
        <x:v>31113</x:v>
      </x:c>
      <x:c r="D25" s="50" t="n">
        <x:f>'Historical Actuals'!D55-D22-D23-D24</x:f>
        <x:v>41772</x:v>
      </x:c>
      <x:c r="E25" s="56" t="n">
        <x:f>-((E3*Assumptions!B14)-(D3*Assumptions!B14))</x:f>
        <x:v>-154.92287999999917</x:v>
      </x:c>
      <x:c r="F25" s="56" t="n">
        <x:f>-((F3*Assumptions!C14)-(E3*Assumptions!C14))</x:f>
        <x:v>-106.38037760000043</x:v>
      </x:c>
      <x:c r="G25" s="56" t="n">
        <x:f>-((G3*Assumptions!D14)-(F3*Assumptions!D14))</x:f>
        <x:v>-108.5079851520004</x:v>
      </x:c>
      <x:c r="H25" s="56" t="n">
        <x:f>-((H3*Assumptions!E14)-(G3*Assumptions!E14))</x:f>
        <x:v>-83.00860864127935</x:v>
      </x:c>
      <x:c r="I25" s="56" t="n">
        <x:f>-((I3*Assumptions!F14)-(H3*Assumptions!F14))</x:f>
        <x:v>-84.25373777089862</x:v>
      </x:c>
    </x:row>
    <x:row r="26">
      <x:c r="A26" t="str">
        <x:v>Unlevered free cash flow</x:v>
      </x:c>
      <x:c r="B26" s="50" t="n">
        <x:f>'Historical Actuals'!B55</x:f>
        <x:v>19780</x:v>
      </x:c>
      <x:c r="C26" s="50" t="n">
        <x:f>'Historical Actuals'!C55</x:f>
        <x:v>15044</x:v>
      </x:c>
      <x:c r="D26" s="50" t="n">
        <x:f>'Historical Actuals'!D55</x:f>
        <x:v>16592</x:v>
      </x:c>
      <x:c r="E26" s="56" t="n">
        <x:f>E22+E23+E24+E25</x:f>
        <x:v>14908.187884000032</x:v>
      </x:c>
      <x:c r="F26" s="56" t="n">
        <x:f>F22+F23+F24+F25</x:f>
        <x:v>15489.368106240026</x:v>
      </x:c>
      <x:c r="G26" s="56" t="n">
        <x:f>G22+G23+G24+G25</x:f>
        <x:v>16718.65111875585</x:v>
      </x:c>
      <x:c r="H26" s="56" t="n">
        <x:f>H22+H23+H24+H25</x:f>
        <x:v>17701.107571312597</x:v>
      </x:c>
      <x:c r="I26" s="56" t="n">
        <x:f>I22+I23+I24+I25</x:f>
        <x:v>18041.616666016194</x:v>
      </x:c>
    </x:row>
    <x:row r="27">
      <x:c r="A27"/>
      <x:c r="B27" s="50"/>
      <x:c r="C27" s="50"/>
      <x:c r="D27" s="50"/>
      <x:c r="E27" s="56"/>
      <x:c r="F27" s="56"/>
      <x:c r="G27" s="56"/>
      <x:c r="H27" s="56"/>
      <x:c r="I27" s="56"/>
    </x:row>
    <x:row r="28">
      <x:c r="A28" s="26" t="str">
        <x:v>Balance Sheet / Debt &amp; Liquidity</x:v>
      </x:c>
      <x:c r="B28" s="52"/>
      <x:c r="C28" s="52"/>
      <x:c r="D28" s="52"/>
      <x:c r="E28" s="58"/>
      <x:c r="F28" s="58"/>
      <x:c r="G28" s="58"/>
      <x:c r="H28" s="58"/>
      <x:c r="I28" s="58"/>
    </x:row>
    <x:row r="29">
      <x:c r="A29" t="str">
        <x:v>Total current assets</x:v>
      </x:c>
      <x:c r="B29" s="50" t="n">
        <x:f>'Historical Actuals'!B30</x:f>
        <x:v>41128</x:v>
      </x:c>
      <x:c r="C29" s="50" t="n">
        <x:f>'Historical Actuals'!C30</x:f>
        <x:v>40911</x:v>
      </x:c>
      <x:c r="D29" s="50" t="n">
        <x:f>'Historical Actuals'!D30</x:f>
        <x:v>38552</x:v>
      </x:c>
      <x:c r="E29" s="56" t="n">
        <x:f>E3*Assumptions!B14+D29*0.90</x:f>
        <x:v>40015.818880000006</x:v>
      </x:c>
      <x:c r="F29" s="56" t="n">
        <x:f>F3*Assumptions!C14+E29*0.90</x:f>
        <x:v>41439.63624960001</x:v>
      </x:c>
      <x:c r="G29" s="56" t="n">
        <x:f>G3*Assumptions!D14+F29*0.90</x:f>
        <x:v>42829.57986739201</x:v>
      </x:c>
      <x:c r="H29" s="56" t="n">
        <x:f>H3*Assumptions!E14+G29*0.90</x:f>
        <x:v>44163.53773204608</x:v>
      </x:c>
      <x:c r="I29" s="56" t="n">
        <x:f>I3*Assumptions!F14+H29*0.90</x:f>
        <x:v>45448.35354800565</x:v>
      </x:c>
    </x:row>
    <x:row r="30">
      <x:c r="A30" t="str">
        <x:v>Total assets</x:v>
      </x:c>
      <x:c r="B30" s="50" t="n">
        <x:f>'Historical Actuals'!B35</x:f>
        <x:v>261632</x:v>
      </x:c>
      <x:c r="C30" s="50" t="n">
        <x:f>'Historical Actuals'!C35</x:f>
        <x:v>256938</x:v>
      </x:c>
      <x:c r="D30" s="50" t="n">
        <x:f>'Historical Actuals'!D35</x:f>
        <x:v>324012</x:v>
      </x:c>
      <x:c r="E30" s="56" t="n">
        <x:f>D30+E24+E23</x:f>
        <x:v>325911.6496</x:v>
      </x:c>
      <x:c r="F30" s="56" t="n">
        <x:f>E30+F24+F23</x:f>
        <x:v>327849.29219199996</x:v>
      </x:c>
      <x:c r="G30" s="56" t="n">
        <x:f>F30+G24+G23</x:f>
        <x:v>330220.966724608</x:v>
      </x:c>
      <x:c r="H30" s="56" t="n">
        <x:f>G30+H24+H23</x:f>
        <x:v>332828.82051275484</x:v>
      </x:c>
      <x:c r="I30" s="56" t="n">
        <x:f>H30+I24+I23</x:f>
        <x:v>335272.1789081109</x:v>
      </x:c>
    </x:row>
    <x:row r="31">
      <x:c r="A31" t="str">
        <x:v>Total current liabilities</x:v>
      </x:c>
      <x:c r="B31" s="50" t="n">
        <x:f>'Historical Actuals'!B41</x:f>
        <x:v>32258</x:v>
      </x:c>
      <x:c r="C31" s="50" t="n">
        <x:f>'Historical Actuals'!C41</x:f>
        <x:v>38558</x:v>
      </x:c>
      <x:c r="D31" s="50" t="n">
        <x:f>'Historical Actuals'!D41</x:f>
        <x:v>33387</x:v>
      </x:c>
      <x:c r="E31" s="56" t="n">
        <x:f>E3*0.18</x:f>
        <x:v>34193.6928</x:v>
      </x:c>
      <x:c r="F31" s="56" t="n">
        <x:f>F3*0.18</x:f>
        <x:v>34877.566655999995</x:v>
      </x:c>
      <x:c r="G31" s="56" t="n">
        <x:f>G3*0.18</x:f>
        <x:v>35575.11798912</x:v>
      </x:c>
      <x:c r="H31" s="56" t="n">
        <x:f>H3*0.18</x:f>
        <x:v>36108.7447589568</x:v>
      </x:c>
      <x:c r="I31" s="56" t="n">
        <x:f>I3*0.18</x:f>
        <x:v>36650.37593034115</x:v>
      </x:c>
    </x:row>
    <x:row r="32">
      <x:c r="A32" t="str">
        <x:v>Total debt</x:v>
      </x:c>
      <x:c r="B32" s="50" t="n">
        <x:f>'Historical Actuals'!B36+'Historical Actuals'!B42</x:f>
        <x:v>20836</x:v>
      </x:c>
      <x:c r="C32" s="50" t="n">
        <x:f>'Historical Actuals'!C36+'Historical Actuals'!C42</x:f>
        <x:v>24541</x:v>
      </x:c>
      <x:c r="D32" s="50" t="n">
        <x:f>'Historical Actuals'!D36+'Historical Actuals'!D42</x:f>
        <x:v>40758</x:v>
      </x:c>
      <x:c r="E32" s="56" t="n">
        <x:f>D32</x:f>
        <x:v>40758</x:v>
      </x:c>
      <x:c r="F32" s="56" t="n">
        <x:f>E32</x:f>
        <x:v>40758</x:v>
      </x:c>
      <x:c r="G32" s="56" t="n">
        <x:f>F32</x:f>
        <x:v>40758</x:v>
      </x:c>
      <x:c r="H32" s="56" t="n">
        <x:f>G32</x:f>
        <x:v>40758</x:v>
      </x:c>
      <x:c r="I32" s="56" t="n">
        <x:f>H32</x:f>
        <x:v>40758</x:v>
      </x:c>
    </x:row>
    <x:row r="33">
      <x:c r="A33" t="str">
        <x:v>Total liabilities</x:v>
      </x:c>
      <x:c r="B33" s="50" t="n">
        <x:f>'Historical Actuals'!B46</x:f>
        <x:v>99703</x:v>
      </x:c>
      <x:c r="C33" s="50" t="n">
        <x:f>'Historical Actuals'!C46</x:f>
        <x:v>103781</x:v>
      </x:c>
      <x:c r="D33" s="50" t="n">
        <x:f>'Historical Actuals'!D46</x:f>
        <x:v>131836</x:v>
      </x:c>
      <x:c r="E33" s="56" t="n">
        <x:f>E31+(D33-D31)</x:f>
        <x:v>132642.6928</x:v>
      </x:c>
      <x:c r="F33" s="56" t="n">
        <x:f>F31+(E33-E31)</x:f>
        <x:v>133326.56665599998</x:v>
      </x:c>
      <x:c r="G33" s="56" t="n">
        <x:f>G31+(F33-F31)</x:f>
        <x:v>134024.11798912</x:v>
      </x:c>
      <x:c r="H33" s="56" t="n">
        <x:f>H31+(G33-G31)</x:f>
        <x:v>134557.74475895677</x:v>
      </x:c>
      <x:c r="I33" s="56" t="n">
        <x:f>I31+(H33-H31)</x:f>
        <x:v>135099.37593034114</x:v>
      </x:c>
    </x:row>
    <x:row r="34">
      <x:c r="A34" t="str">
        <x:v>Total Chevron stockholders' equity</x:v>
      </x:c>
      <x:c r="B34" s="50" t="n">
        <x:f>'Historical Actuals'!B47</x:f>
        <x:v>160957</x:v>
      </x:c>
      <x:c r="C34" s="50" t="n">
        <x:f>'Historical Actuals'!C47</x:f>
        <x:v>152318</x:v>
      </x:c>
      <x:c r="D34" s="50" t="n">
        <x:f>'Historical Actuals'!D47</x:f>
        <x:v>186450</x:v>
      </x:c>
      <x:c r="E34" s="56" t="n">
        <x:f>D34+E19-12000-8000</x:f>
        <x:v>179613.46116400004</x:v>
      </x:c>
      <x:c r="F34" s="56" t="n">
        <x:f>E34+F19-12000-8000</x:f>
        <x:v>173271.56705584007</x:v>
      </x:c>
      <x:c r="G34" s="56" t="n">
        <x:f>F34+G19-12000-8000</x:f>
        <x:v>167727.0516271399</x:v>
      </x:c>
      <x:c r="H34" s="56" t="n">
        <x:f>G34+H19-12000-8000</x:f>
        <x:v>162903.3140189469</x:v>
      </x:c>
      <x:c r="I34" s="56" t="n">
        <x:f>H34+I19-12000-8000</x:f>
        <x:v>158585.82602737792</x:v>
      </x:c>
    </x:row>
    <x:row r="35">
      <x:c r="A35" t="str">
        <x:v>Total equity</x:v>
      </x:c>
      <x:c r="B35" s="50" t="n">
        <x:f>'Historical Actuals'!B49</x:f>
        <x:v>161929</x:v>
      </x:c>
      <x:c r="C35" s="50" t="n">
        <x:f>'Historical Actuals'!C49</x:f>
        <x:v>153157</x:v>
      </x:c>
      <x:c r="D35" s="50" t="n">
        <x:f>'Historical Actuals'!D49</x:f>
        <x:v>192176</x:v>
      </x:c>
      <x:c r="E35" s="56" t="n">
        <x:f>E30-E33</x:f>
        <x:v>193268.9568</x:v>
      </x:c>
      <x:c r="F35" s="56" t="n">
        <x:f>F30-F33</x:f>
        <x:v>194522.72553599998</x:v>
      </x:c>
      <x:c r="G35" s="56" t="n">
        <x:f>G30-G33</x:f>
        <x:v>196196.848735488</x:v>
      </x:c>
      <x:c r="H35" s="56" t="n">
        <x:f>H30-H33</x:f>
        <x:v>198271.07575379807</x:v>
      </x:c>
      <x:c r="I35" s="56" t="n">
        <x:f>I30-I33</x:f>
        <x:v>200172.80297776975</x:v>
      </x:c>
    </x:row>
    <x:row r="36">
      <x:c r="A36" t="str">
        <x:v>Total liabilities and equity</x:v>
      </x:c>
      <x:c r="B36" s="50" t="n">
        <x:f>'Historical Actuals'!B50</x:f>
        <x:v>261632</x:v>
      </x:c>
      <x:c r="C36" s="50" t="n">
        <x:f>'Historical Actuals'!C50</x:f>
        <x:v>256938</x:v>
      </x:c>
      <x:c r="D36" s="50" t="n">
        <x:f>'Historical Actuals'!D50</x:f>
        <x:v>324012</x:v>
      </x:c>
      <x:c r="E36" s="56" t="n">
        <x:f>E33+E35</x:f>
        <x:v>325911.6496</x:v>
      </x:c>
      <x:c r="F36" s="56" t="n">
        <x:f>F33+F35</x:f>
        <x:v>327849.29219199996</x:v>
      </x:c>
      <x:c r="G36" s="56" t="n">
        <x:f>G33+G35</x:f>
        <x:v>330220.966724608</x:v>
      </x:c>
      <x:c r="H36" s="56" t="n">
        <x:f>H33+H35</x:f>
        <x:v>332828.82051275484</x:v>
      </x:c>
      <x:c r="I36" s="56" t="n">
        <x:f>I33+I35</x:f>
        <x:v>335272.1789081109</x:v>
      </x:c>
    </x:row>
    <x:row r="37">
      <x:c r="A37" t="str">
        <x:v>Balance check</x:v>
      </x:c>
      <x:c r="B37" s="50" t="n">
        <x:f>B30-B36</x:f>
        <x:v>0</x:v>
      </x:c>
      <x:c r="C37" s="50" t="n">
        <x:f>C30-C36</x:f>
        <x:v>0</x:v>
      </x:c>
      <x:c r="D37" s="50" t="n">
        <x:f>D30-D36</x:f>
        <x:v>0</x:v>
      </x:c>
      <x:c r="E37" s="56" t="n">
        <x:f>E30-E36</x:f>
        <x:v>0</x:v>
      </x:c>
      <x:c r="F37" s="56" t="n">
        <x:f>F30-F36</x:f>
        <x:v>0</x:v>
      </x:c>
      <x:c r="G37" s="56" t="n">
        <x:f>G30-G36</x:f>
        <x:v>0</x:v>
      </x:c>
      <x:c r="H37" s="56" t="n">
        <x:f>H30-H36</x:f>
        <x:v>0</x:v>
      </x:c>
      <x:c r="I37" s="56" t="n">
        <x:f>I30-I36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6.630000114440918" hidden="0" customWidth="1"/>
    <x:col min="3" max="3" width="6.630000114440918" hidden="0" customWidth="1"/>
    <x:col min="4" max="4" width="6.630000114440918" hidden="0" customWidth="1"/>
    <x:col min="5" max="5" width="6.630000114440918" hidden="0" customWidth="1"/>
    <x:col min="6" max="6" width="6.630000114440918" hidden="0" customWidth="1"/>
  </x:cols>
  <x:sheetData>
    <x:row r="1">
      <x:c r="A1" s="5" t="str">
        <x:v>DCF Valuation</x:v>
      </x:c>
      <x:c r="B1" s="5"/>
      <x:c r="C1" s="5"/>
      <x:c r="D1" s="5"/>
      <x:c r="E1" s="5"/>
      <x:c r="F1" s="5"/>
      <x:c r="G1" s="5"/>
      <x:c r="H1" s="5"/>
    </x:row>
    <x:row r="2">
      <x:c r="A2" s="18" t="str">
        <x:v>$ in millions unless stated otherwise</x:v>
      </x:c>
      <x:c r="B2" s="18" t="str">
        <x:v>2026E</x:v>
      </x:c>
      <x:c r="C2" s="18" t="str">
        <x:v>2027E</x:v>
      </x:c>
      <x:c r="D2" s="18" t="str">
        <x:v>2028E</x:v>
      </x:c>
      <x:c r="E2" s="18" t="str">
        <x:v>2029E</x:v>
      </x:c>
      <x:c r="F2" s="18" t="str">
        <x:v>2030E</x:v>
      </x:c>
      <x:c r="G2"/>
      <x:c r="H2"/>
    </x:row>
    <x:row r="3">
      <x:c r="A3" t="str">
        <x:v>Unlevered free cash flow</x:v>
      </x:c>
      <x:c r="B3" s="34" t="n">
        <x:f>Model!E26</x:f>
        <x:v>14908.187884000032</x:v>
      </x:c>
      <x:c r="C3" s="34" t="n">
        <x:f>Model!F26</x:f>
        <x:v>15489.368106240026</x:v>
      </x:c>
      <x:c r="D3" s="34" t="n">
        <x:f>Model!G26</x:f>
        <x:v>16718.65111875585</x:v>
      </x:c>
      <x:c r="E3" s="34" t="n">
        <x:f>Model!H26</x:f>
        <x:v>17701.107571312597</x:v>
      </x:c>
      <x:c r="F3" s="34" t="n">
        <x:f>Model!I26</x:f>
        <x:v>18041.616666016194</x:v>
      </x:c>
      <x:c r="G3"/>
      <x:c r="H3"/>
    </x:row>
    <x:row r="4">
      <x:c r="A4" t="str">
        <x:v>Discount period</x:v>
      </x:c>
      <x:c r="B4" s="34" t="n">
        <x:v>0.5</x:v>
      </x:c>
      <x:c r="C4" s="34" t="n">
        <x:v>1.5</x:v>
      </x:c>
      <x:c r="D4" s="34" t="n">
        <x:v>2.5</x:v>
      </x:c>
      <x:c r="E4" s="34" t="n">
        <x:v>3.5</x:v>
      </x:c>
      <x:c r="F4" s="34" t="n">
        <x:v>4.5</x:v>
      </x:c>
      <x:c r="G4"/>
      <x:c r="H4"/>
    </x:row>
    <x:row r="5">
      <x:c r="A5" t="str">
        <x:v>WACC</x:v>
      </x:c>
      <x:c r="B5" s="48" t="n">
        <x:f>Assumptions!B15</x:f>
        <x:v>0.085</x:v>
      </x:c>
      <x:c r="C5" s="48" t="n">
        <x:f>Assumptions!C15</x:f>
        <x:v>0.085</x:v>
      </x:c>
      <x:c r="D5" s="48" t="n">
        <x:f>Assumptions!D15</x:f>
        <x:v>0.085</x:v>
      </x:c>
      <x:c r="E5" s="48" t="n">
        <x:f>Assumptions!E15</x:f>
        <x:v>0.085</x:v>
      </x:c>
      <x:c r="F5" s="48" t="n">
        <x:f>Assumptions!F15</x:f>
        <x:v>0.085</x:v>
      </x:c>
      <x:c r="G5"/>
      <x:c r="H5"/>
    </x:row>
    <x:row r="6">
      <x:c r="A6" t="str">
        <x:v>Discount factor</x:v>
      </x:c>
      <x:c r="B6" s="64" t="n">
        <x:f>1/(1+B5)^B4</x:f>
        <x:v>0.9600307214746386</x:v>
      </x:c>
      <x:c r="C6" s="64" t="n">
        <x:f>1/(1+C5)^C4</x:f>
        <x:v>0.88482094145128</x:v>
      </x:c>
      <x:c r="D6" s="64" t="n">
        <x:f>1/(1+D5)^D4</x:f>
        <x:v>0.8155031718444976</x:v>
      </x:c>
      <x:c r="E6" s="64" t="n">
        <x:f>1/(1+E5)^E4</x:f>
        <x:v>0.7516158265847905</x:v>
      </x:c>
      <x:c r="F6" s="64" t="n">
        <x:f>1/(1+F5)^F4</x:f>
        <x:v>0.6927334807233092</x:v>
      </x:c>
      <x:c r="G6"/>
      <x:c r="H6"/>
    </x:row>
    <x:row r="7">
      <x:c r="A7" t="str">
        <x:v>PV of FCF</x:v>
      </x:c>
      <x:c r="B7" s="34" t="n">
        <x:f>B3*B6</x:f>
        <x:v>14312.318370156017</x:v>
      </x:c>
      <x:c r="C7" s="34" t="n">
        <x:f>C3*C6</x:f>
        <x:v>13705.31727024873</x:v>
      </x:c>
      <x:c r="D7" s="34" t="n">
        <x:f>D3*D6</x:f>
        <x:v>13634.113016306954</x:v>
      </x:c>
      <x:c r="E7" s="34" t="n">
        <x:f>E3*E6</x:f>
        <x:v>13304.432598678412</x:v>
      </x:c>
      <x:c r="F7" s="34" t="n">
        <x:f>F3*F6</x:f>
        <x:v>12498.031910925063</x:v>
      </x:c>
      <x:c r="G7"/>
      <x:c r="H7"/>
    </x:row>
    <x:row r="8">
      <x:c r="A8"/>
      <x:c r="B8" s="34"/>
      <x:c r="C8" s="34"/>
      <x:c r="D8" s="34"/>
      <x:c r="E8" s="34"/>
      <x:c r="F8" s="34"/>
      <x:c r="G8"/>
      <x:c r="H8"/>
    </x:row>
    <x:row r="9">
      <x:c r="A9" t="str">
        <x:v>Terminal growth</x:v>
      </x:c>
      <x:c r="B9" s="48" t="n">
        <x:f>Assumptions!B16</x:f>
        <x:v>0.02</x:v>
      </x:c>
      <x:c r="C9" s="34"/>
      <x:c r="D9" s="34"/>
      <x:c r="E9" s="34"/>
      <x:c r="F9" s="34"/>
      <x:c r="G9"/>
      <x:c r="H9"/>
    </x:row>
    <x:row r="10">
      <x:c r="A10" t="str">
        <x:v>Terminal value</x:v>
      </x:c>
      <x:c r="B10" s="34" t="n">
        <x:f>F3*(1+B9)/(B5-B9)</x:f>
        <x:v>283114.59998979256</x:v>
      </x:c>
      <x:c r="C10" s="34"/>
      <x:c r="D10" s="34"/>
      <x:c r="E10" s="34"/>
      <x:c r="F10" s="34"/>
      <x:c r="G10"/>
      <x:c r="H10"/>
    </x:row>
    <x:row r="11">
      <x:c r="A11" t="str">
        <x:v>PV of terminal value</x:v>
      </x:c>
      <x:c r="B11" s="34" t="n">
        <x:f>B10*F6</x:f>
        <x:v>196122.96229451636</x:v>
      </x:c>
      <x:c r="C11" s="34"/>
      <x:c r="D11" s="34"/>
      <x:c r="E11" s="34"/>
      <x:c r="F11" s="34"/>
      <x:c r="G11"/>
      <x:c r="H11"/>
    </x:row>
    <x:row r="12">
      <x:c r="A12" t="str">
        <x:v>Enterprise value</x:v>
      </x:c>
      <x:c r="B12" s="34" t="n">
        <x:f>SUM(B7:F7)+B11</x:f>
        <x:v>263577.1754608315</x:v>
      </x:c>
      <x:c r="C12" s="34"/>
      <x:c r="D12" s="34"/>
      <x:c r="E12" s="34"/>
      <x:c r="F12" s="34"/>
      <x:c r="G12"/>
      <x:c r="H12"/>
    </x:row>
    <x:row r="13">
      <x:c r="A13" t="str">
        <x:v>Less: net debt</x:v>
      </x:c>
      <x:c r="B13" s="34" t="n">
        <x:f>Assumptions!B17</x:f>
        <x:v>34461</x:v>
      </x:c>
      <x:c r="C13" s="34"/>
      <x:c r="D13" s="34"/>
      <x:c r="E13" s="34"/>
      <x:c r="F13" s="34"/>
      <x:c r="G13"/>
      <x:c r="H13"/>
    </x:row>
    <x:row r="14">
      <x:c r="A14" t="str">
        <x:v>Equity value</x:v>
      </x:c>
      <x:c r="B14" s="34" t="n">
        <x:f>B12-B13</x:f>
        <x:v>229116.1754608315</x:v>
      </x:c>
      <x:c r="C14" s="34"/>
      <x:c r="D14" s="34"/>
      <x:c r="E14" s="34"/>
      <x:c r="F14" s="34"/>
      <x:c r="G14"/>
      <x:c r="H14"/>
    </x:row>
    <x:row r="15">
      <x:c r="A15" t="str">
        <x:v>Diluted shares (mm)</x:v>
      </x:c>
      <x:c r="B15" s="34" t="n">
        <x:f>Assumptions!B18</x:f>
        <x:v>1856</x:v>
      </x:c>
      <x:c r="C15" s="34"/>
      <x:c r="D15" s="34"/>
      <x:c r="E15" s="34"/>
      <x:c r="F15" s="34"/>
      <x:c r="G15"/>
      <x:c r="H15"/>
    </x:row>
    <x:row r="16">
      <x:c r="A16" t="str">
        <x:v>Implied share price</x:v>
      </x:c>
      <x:c r="B16" s="66" t="n">
        <x:f>B14/B15</x:f>
        <x:v>123.4462152267411</x:v>
      </x:c>
      <x:c r="C16" s="34"/>
      <x:c r="D16" s="34"/>
      <x:c r="E16" s="34"/>
      <x:c r="F16" s="34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 s="18" t="str">
        <x:v>Sensitivity: Implied Share Price</x:v>
      </x:c>
      <x:c r="B18" s="18"/>
      <x:c r="C18" s="18"/>
      <x:c r="D18" s="18"/>
      <x:c r="E18" s="18"/>
      <x:c r="F18" s="18"/>
      <x:c r="G18"/>
      <x:c r="H18"/>
    </x:row>
    <x:row r="19">
      <x:c r="A19" s="18" t="str">
        <x:v>WACC \ g</x:v>
      </x:c>
      <x:c r="B19" s="62" t="n">
        <x:v>0.01</x:v>
      </x:c>
      <x:c r="C19" s="62" t="n">
        <x:v>0.015</x:v>
      </x:c>
      <x:c r="D19" s="62" t="n">
        <x:v>0.02</x:v>
      </x:c>
      <x:c r="E19" s="62" t="n">
        <x:v>0.025</x:v>
      </x:c>
      <x:c r="F19" s="62" t="n">
        <x:v>0.03</x:v>
      </x:c>
      <x:c r="G19"/>
      <x:c r="H19"/>
    </x:row>
    <x:row r="20">
      <x:c r="A20" s="62" t="n">
        <x:v>0.075</x:v>
      </x:c>
      <x:c r="B20" s="66" t="n">
        <x:f>((SUM(B7:F7)+F3*(1+B$19)/($A20-B$19)*F6)-$B$13)/$B$15</x:f>
        <x:v>122.41023778054375</x:v>
      </x:c>
      <x:c r="C20" s="66" t="n">
        <x:f>((SUM(B7:F7)+F3*(1+C$19)/($A20-C$19)*F6)-$B$13)/$B$15</x:f>
        <x:v>131.69086906939518</x:v>
      </x:c>
      <x:c r="D20" s="66" t="n">
        <x:f>((SUM(B7:F7)+F3*(1+D$19)/($A20-D$19)*F6)-$B$13)/$B$15</x:f>
        <x:v>142.65888786531053</x:v>
      </x:c>
      <x:c r="E20" s="66" t="n">
        <x:f>((SUM(B7:F7)+F3*(1+E$19)/($A20-E$19)*F6)-$B$13)/$B$15</x:f>
        <x:v>155.82051042040897</x:v>
      </x:c>
      <x:c r="F20" s="66" t="n">
        <x:f>((SUM(B7:F7)+F3*(1+F$19)/($A20-F$19)*F6)-$B$13)/$B$15</x:f>
        <x:v>171.90693798775143</x:v>
      </x:c>
      <x:c r="G20"/>
      <x:c r="H20"/>
    </x:row>
    <x:row r="21">
      <x:c r="A21" s="62" t="n">
        <x:v>0.08</x:v>
      </x:c>
      <x:c r="B21" s="66" t="n">
        <x:f>((SUM(B7:F7)+F3*(1+B$19)/($A21-B$19)*F6)-$B$13)/$B$15</x:f>
        <x:v>114.93640049011988</x:v>
      </x:c>
      <x:c r="C21" s="66" t="n">
        <x:f>((SUM(B7:F7)+F3*(1+C$19)/($A21-C$19)*F6)-$B$13)/$B$15</x:f>
        <x:v>122.92822650364243</x:v>
      </x:c>
      <x:c r="D21" s="66" t="n">
        <x:f>((SUM(B7:F7)+F3*(1+D$19)/($A21-D$19)*F6)-$B$13)/$B$15</x:f>
        <x:v>132.25202351941877</x:v>
      </x:c>
      <x:c r="E21" s="66" t="n">
        <x:f>((SUM(B7:F7)+F3*(1+E$19)/($A21-E$19)*F6)-$B$13)/$B$15</x:f>
        <x:v>143.27105635624534</x:v>
      </x:c>
      <x:c r="F21" s="66" t="n">
        <x:f>((SUM(B7:F7)+F3*(1+F$19)/($A21-F$19)*F6)-$B$13)/$B$15</x:f>
        <x:v>156.49389576043723</x:v>
      </x:c>
      <x:c r="G21"/>
      <x:c r="H21"/>
    </x:row>
    <x:row r="22">
      <x:c r="A22" s="62" t="n">
        <x:v>0.085</x:v>
      </x:c>
      <x:c r="B22" s="66" t="n">
        <x:f>((SUM(B7:F7)+F3*(1+B$19)/($A22-B$19)*F6)-$B$13)/$B$15</x:f>
        <x:v>108.45907483841917</x:v>
      </x:c>
      <x:c r="C22" s="66" t="n">
        <x:f>((SUM(B7:F7)+F3*(1+C$19)/($A22-C$19)*F6)-$B$13)/$B$15</x:f>
        <x:v>115.4173900187115</x:v>
      </x:c>
      <x:c r="D22" s="66" t="n">
        <x:f>((SUM(B7:F7)+F3*(1+D$19)/($A22-D$19)*F6)-$B$13)/$B$15</x:f>
        <x:v>123.4462152267411</x:v>
      </x:c>
      <x:c r="E22" s="66" t="n">
        <x:f>((SUM(B7:F7)+F3*(1+E$19)/($A22-E$19)*F6)-$B$13)/$B$15</x:f>
        <x:v>132.8131779694423</x:v>
      </x:c>
      <x:c r="F22" s="66" t="n">
        <x:f>((SUM(B7:F7)+F3*(1+F$19)/($A22-F$19)*F6)-$B$13)/$B$15</x:f>
        <x:v>143.88322484718014</x:v>
      </x:c>
      <x:c r="G22"/>
      <x:c r="H22"/>
    </x:row>
    <x:row r="23">
      <x:c r="A23" s="62" t="n">
        <x:v>0.09</x:v>
      </x:c>
      <x:c r="B23" s="66" t="n">
        <x:f>((SUM(B7:F7)+F3*(1+B$19)/($A23-B$19)*F6)-$B$13)/$B$15</x:f>
        <x:v>102.79141489318108</x:v>
      </x:c>
      <x:c r="C23" s="66" t="n">
        <x:f>((SUM(B7:F7)+F3*(1+C$19)/($A23-C$19)*F6)-$B$13)/$B$15</x:f>
        <x:v>108.90799839843805</x:v>
      </x:c>
      <x:c r="D23" s="66" t="n">
        <x:f>((SUM(B7:F7)+F3*(1+D$19)/($A23-D$19)*F6)-$B$13)/$B$15</x:f>
        <x:v>115.89837954730316</x:v>
      </x:c>
      <x:c r="E23" s="66" t="n">
        <x:f>((SUM(B7:F7)+F3*(1+E$19)/($A23-E$19)*F6)-$B$13)/$B$15</x:f>
        <x:v>123.9642039498398</x:v>
      </x:c>
      <x:c r="F23" s="66" t="n">
        <x:f>((SUM(B7:F7)+F3*(1+F$19)/($A23-F$19)*F6)-$B$13)/$B$15</x:f>
        <x:v>133.37433241946593</x:v>
      </x:c>
      <x:c r="G23"/>
      <x:c r="H23"/>
    </x:row>
    <x:row r="24">
      <x:c r="A24" s="62" t="n">
        <x:v>0.095</x:v>
      </x:c>
      <x:c r="B24" s="66" t="n">
        <x:f>((SUM(B7:F7)+F3*(1+B$19)/($A24-B$19)*F6)-$B$13)/$B$15</x:f>
        <x:v>97.79053847091215</x:v>
      </x:c>
      <x:c r="C24" s="66" t="n">
        <x:f>((SUM(B7:F7)+F3*(1+C$19)/($A24-C$19)*F6)-$B$13)/$B$15</x:f>
        <x:v>103.21228073069875</x:v>
      </x:c>
      <x:c r="D24" s="66" t="n">
        <x:f>((SUM(B7:F7)+F3*(1+D$19)/($A24-D$19)*F6)-$B$13)/$B$15</x:f>
        <x:v>109.35692195845691</x:v>
      </x:c>
      <x:c r="E24" s="66" t="n">
        <x:f>((SUM(B7:F7)+F3*(1+E$19)/($A24-E$19)*F6)-$B$13)/$B$15</x:f>
        <x:v>116.37936907589479</x:v>
      </x:c>
      <x:c r="F24" s="66" t="n">
        <x:f>((SUM(B7:F7)+F3*(1+F$19)/($A24-F$19)*F6)-$B$13)/$B$15</x:f>
        <x:v>124.48219267293851</x:v>
      </x:c>
      <x:c r="G24"/>
      <x:c r="H2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.880001068115234" hidden="0" customWidth="1"/>
    <x:col min="2" max="2" width="6.75" hidden="0" customWidth="1"/>
    <x:col min="3" max="3" width="6.75" hidden="0" customWidth="1"/>
    <x:col min="4" max="4" width="6.75" hidden="0" customWidth="1"/>
    <x:col min="5" max="5" width="23.1299991607666" hidden="0" customWidth="1"/>
  </x:cols>
  <x:sheetData>
    <x:row r="1">
      <x:c r="A1" s="18" t="str">
        <x:v>Check</x:v>
      </x:c>
      <x:c r="B1" s="18" t="str">
        <x:v>2023A</x:v>
      </x:c>
      <x:c r="C1" s="18" t="str">
        <x:v>2024A</x:v>
      </x:c>
      <x:c r="D1" s="18" t="str">
        <x:v>2025A</x:v>
      </x:c>
      <x:c r="E1" s="18" t="str">
        <x:v>Status / formula</x:v>
      </x:c>
    </x:row>
    <x:row r="2">
      <x:c r="A2" t="str">
        <x:v>Income statement: total revenues tie</x:v>
      </x:c>
      <x:c r="B2" s="34" t="n">
        <x:f>'Historical Actuals'!B6-SUM('Historical Actuals'!B3:B5)</x:f>
        <x:v>0</x:v>
      </x:c>
      <x:c r="C2" s="34" t="n">
        <x:f>'Historical Actuals'!C6-SUM('Historical Actuals'!C3:C5)</x:f>
        <x:v>0</x:v>
      </x:c>
      <x:c r="D2" s="34" t="n">
        <x:f>'Historical Actuals'!D6-SUM('Historical Actuals'!D3:D5)</x:f>
        <x:v>0</x:v>
      </x:c>
      <x:c r="E2" t="str">
        <x:v>Should be zero</x:v>
      </x:c>
    </x:row>
    <x:row r="3">
      <x:c r="A3" t="str">
        <x:v>Income statement: total costs tie</x:v>
      </x:c>
      <x:c r="B3" s="34" t="n">
        <x:f>'Historical Actuals'!B15-SUM('Historical Actuals'!B7:B14)</x:f>
        <x:v>0</x:v>
      </x:c>
      <x:c r="C3" s="34" t="n">
        <x:f>'Historical Actuals'!C15-SUM('Historical Actuals'!C7:C14)</x:f>
        <x:v>0</x:v>
      </x:c>
      <x:c r="D3" s="34" t="n">
        <x:f>'Historical Actuals'!D15-SUM('Historical Actuals'!D7:D14)</x:f>
        <x:v>0</x:v>
      </x:c>
      <x:c r="E3" t="str">
        <x:v>Should be zero</x:v>
      </x:c>
    </x:row>
    <x:row r="4">
      <x:c r="A4" t="str">
        <x:v>Income statement: pretax income tie</x:v>
      </x:c>
      <x:c r="B4" s="34" t="n">
        <x:f>'Historical Actuals'!B16-('Historical Actuals'!B6+'Historical Actuals'!B15)</x:f>
        <x:v>0</x:v>
      </x:c>
      <x:c r="C4" s="34" t="n">
        <x:f>'Historical Actuals'!C16-('Historical Actuals'!C6+'Historical Actuals'!C15)</x:f>
        <x:v>0</x:v>
      </x:c>
      <x:c r="D4" s="34" t="n">
        <x:f>'Historical Actuals'!D16-('Historical Actuals'!D6+'Historical Actuals'!D15)</x:f>
        <x:v>0</x:v>
      </x:c>
      <x:c r="E4" t="str">
        <x:v>Should be zero</x:v>
      </x:c>
    </x:row>
    <x:row r="5">
      <x:c r="A5" t="str">
        <x:v>Income statement: net income attributable tie</x:v>
      </x:c>
      <x:c r="B5" s="34" t="n">
        <x:f>'Historical Actuals'!B20-('Historical Actuals'!B18+'Historical Actuals'!B19)</x:f>
        <x:v>0</x:v>
      </x:c>
      <x:c r="C5" s="34" t="n">
        <x:f>'Historical Actuals'!C20-('Historical Actuals'!C18+'Historical Actuals'!C19)</x:f>
        <x:v>0</x:v>
      </x:c>
      <x:c r="D5" s="34" t="n">
        <x:f>'Historical Actuals'!D20-('Historical Actuals'!D18+'Historical Actuals'!D19)</x:f>
        <x:v>0</x:v>
      </x:c>
      <x:c r="E5" t="str">
        <x:v>Should be zero</x:v>
      </x:c>
    </x:row>
    <x:row r="6">
      <x:c r="A6" t="str">
        <x:v>Balance sheet: assets = liabilities + equity</x:v>
      </x:c>
      <x:c r="B6" s="34" t="n">
        <x:f>'Historical Actuals'!B35-'Historical Actuals'!B50</x:f>
        <x:v>0</x:v>
      </x:c>
      <x:c r="C6" s="34" t="n">
        <x:f>'Historical Actuals'!C35-'Historical Actuals'!C50</x:f>
        <x:v>0</x:v>
      </x:c>
      <x:c r="D6" s="34" t="n">
        <x:f>'Historical Actuals'!D35-'Historical Actuals'!D50</x:f>
        <x:v>0</x:v>
      </x:c>
      <x:c r="E6" t="str">
        <x:v>Should be zero</x:v>
      </x:c>
    </x:row>
    <x:row r="7">
      <x:c r="A7" t="str">
        <x:v>Cash flow: FCF = CFO + capex</x:v>
      </x:c>
      <x:c r="B7" s="34" t="n">
        <x:f>'Historical Actuals'!B55-('Historical Actuals'!B53+'Historical Actuals'!B54)</x:f>
        <x:v>0</x:v>
      </x:c>
      <x:c r="C7" s="34" t="n">
        <x:f>'Historical Actuals'!C55-('Historical Actuals'!C53+'Historical Actuals'!C54)</x:f>
        <x:v>0</x:v>
      </x:c>
      <x:c r="D7" s="34" t="n">
        <x:f>'Historical Actuals'!D55-('Historical Actuals'!D53+'Historical Actuals'!D54)</x:f>
        <x:v>0</x:v>
      </x:c>
      <x:c r="E7" t="str">
        <x:v>Should be zero</x:v>
      </x:c>
    </x:row>
    <x:row r="8">
      <x:c r="A8" t="str">
        <x:v>Model balance check</x:v>
      </x:c>
      <x:c r="B8" s="34" t="n">
        <x:f>Model!B37</x:f>
        <x:v>0</x:v>
      </x:c>
      <x:c r="C8" s="34" t="n">
        <x:f>Model!C37</x:f>
        <x:v>0</x:v>
      </x:c>
      <x:c r="D8" s="34" t="n">
        <x:f>Model!D37</x:f>
        <x:v>0</x:v>
      </x:c>
      <x:c r="E8" t="str">
        <x:v>Should be zero across all years</x:v>
      </x:c>
    </x:row>
  </x:sheetData>
  <x:pageMargins left="0.7" right="0.7" top="0.75" bottom="0.75" header="0.3" footer="0.3"/>
</x:worksheet>
</file>