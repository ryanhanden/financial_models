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" sheetId="2" state="visible" r:id="rId4"/>
    <sheet name="Historical Actuals" sheetId="3" state="visible" r:id="rId5"/>
    <sheet name="Segment Detail" sheetId="4" state="visible" r:id="rId6"/>
    <sheet name="Assumptions" sheetId="5" state="visible" r:id="rId7"/>
    <sheet name="Model" sheetId="6" state="visible" r:id="rId8"/>
    <sheet name="DCF" sheetId="7" state="visible" r:id="rId9"/>
    <sheet name="QA Checks" sheetId="8" state="visible" r:id="rId10"/>
  </sheets>
  <definedNames>
    <definedName function="false" hidden="false" localSheetId="4" name="_xlnm.Print_Area" vbProcedure="false">Assumptions!$A$1:$G$18</definedName>
    <definedName function="false" hidden="false" localSheetId="0" name="_xlnm.Print_Area" vbProcedure="false">Cover!$A$1:$B$12</definedName>
    <definedName function="false" hidden="false" localSheetId="6" name="_xlnm.Print_Area" vbProcedure="false">DCF!$A$1:$F$24</definedName>
    <definedName function="false" hidden="false" localSheetId="2" name="_xlnm.Print_Area" vbProcedure="false">'Historical Actuals'!$A$1:$E$59</definedName>
    <definedName function="false" hidden="false" localSheetId="5" name="_xlnm.Print_Area" vbProcedure="false">Model!$A$1:$I$37</definedName>
    <definedName function="false" hidden="false" localSheetId="7" name="_xlnm.Print_Area" vbProcedure="false">'QA Checks'!$A$1:$E$8</definedName>
    <definedName function="false" hidden="false" localSheetId="3" name="_xlnm.Print_Area" vbProcedure="false">'Segment Detail'!$A$1:$E$17</definedName>
    <definedName function="false" hidden="false" localSheetId="1" name="_xlnm.Print_Area" vbProcedure="false">Sources!$A$1:$F$7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<sst xmlns="http://schemas.openxmlformats.org/spreadsheetml/2006/main" count="332" uniqueCount="233">
  <si>
    <t xml:space="preserve">Chevron Corporation (CVX) — Banker-Style EDGAR-Tied Model</t>
  </si>
  <si>
    <t xml:space="preserve">Company</t>
  </si>
  <si>
    <t xml:space="preserve">Chevron Corporation</t>
  </si>
  <si>
    <t xml:space="preserve">Ticker</t>
  </si>
  <si>
    <t xml:space="preserve">CVX</t>
  </si>
  <si>
    <t xml:space="preserve">Model type</t>
  </si>
  <si>
    <t xml:space="preserve">Integrated historical actuals + forecast assumptions + DCF</t>
  </si>
  <si>
    <t xml:space="preserve">Historical source standard</t>
  </si>
  <si>
    <t xml:space="preserve">Hardcoded actuals tied to EDGAR / SEC filing data</t>
  </si>
  <si>
    <t xml:space="preserve">Forecast standard</t>
  </si>
  <si>
    <t xml:space="preserve">Formula-driven assumptions; not factual actuals</t>
  </si>
  <si>
    <t xml:space="preserve">Base filing</t>
  </si>
  <si>
    <t xml:space="preserve">FY2025 Form 10-K, period ended Dec. 31, 2025</t>
  </si>
  <si>
    <t xml:space="preserve">Currency / units</t>
  </si>
  <si>
    <t xml:space="preserve">$ in millions, except per-share and operational metrics</t>
  </si>
  <si>
    <t xml:space="preserve">Prepared for</t>
  </si>
  <si>
    <t xml:space="preserve">Ryan Anden financial modeling portfolio</t>
  </si>
  <si>
    <t xml:space="preserve">Status</t>
  </si>
  <si>
    <t xml:space="preserve">Chevron rebuild after Uber model</t>
  </si>
  <si>
    <t xml:space="preserve">Last updated</t>
  </si>
  <si>
    <t xml:space="preserve">2026-06-24</t>
  </si>
  <si>
    <t xml:space="preserve">Source ID</t>
  </si>
  <si>
    <t xml:space="preserve">Filing / Source</t>
  </si>
  <si>
    <t xml:space="preserve">URL</t>
  </si>
  <si>
    <t xml:space="preserve">Use in model</t>
  </si>
  <si>
    <t xml:space="preserve">Notes</t>
  </si>
  <si>
    <t xml:space="preserve">CVX-2025-10K</t>
  </si>
  <si>
    <t xml:space="preserve">Chevron</t>
  </si>
  <si>
    <t xml:space="preserve">FY2025 Form 10-K, SEC EDGAR filing detail</t>
  </si>
  <si>
    <t xml:space="preserve">https://www.sec.gov/Archives/edgar/data/93410/000009341026000078/0000093410-26-000078-index.htm</t>
  </si>
  <si>
    <t xml:space="preserve">Primary historical source for 2025 and filing confirmation</t>
  </si>
  <si>
    <t xml:space="preserve">SEC index confirms 10-K accession 0000093410-26-000078, filed 2026-02-24, period 2025-12-31.</t>
  </si>
  <si>
    <t xml:space="preserve">CVX-2025-10K-HTML</t>
  </si>
  <si>
    <t xml:space="preserve">FY2025 Form 10-K primary document</t>
  </si>
  <si>
    <t xml:space="preserve">https://www.sec.gov/Archives/edgar/data/93410/000009341026000078/cvx-20251231.htm</t>
  </si>
  <si>
    <t xml:space="preserve">Income statement, balance sheet, cash flow, segment notes</t>
  </si>
  <si>
    <t xml:space="preserve">Used as the EDGAR source of record.</t>
  </si>
  <si>
    <t xml:space="preserve">CVX-2025-Q4-8K</t>
  </si>
  <si>
    <t xml:space="preserve">FY2025 Q4 earnings release exhibit</t>
  </si>
  <si>
    <t xml:space="preserve">https://www.sec.gov/Archives/edgar/data/93410/000009341026000019/a12312025ex9918-k.htm</t>
  </si>
  <si>
    <t xml:space="preserve">Earnings/cash-flow summary and 2025 segment earnings</t>
  </si>
  <si>
    <t xml:space="preserve">Used only where it matches / supplements the annual filing data.</t>
  </si>
  <si>
    <t xml:space="preserve">CVX-2024-10K</t>
  </si>
  <si>
    <t xml:space="preserve">FY2024 Form 10-K primary document</t>
  </si>
  <si>
    <t xml:space="preserve">https://www.sec.gov/Archives/edgar/data/93410/000009341025000009/cvx-20241231.htm</t>
  </si>
  <si>
    <t xml:space="preserve">2023-2024 balance sheet and historical comparisons</t>
  </si>
  <si>
    <t xml:space="preserve">Used for 2023 and 2024 tie-outs.</t>
  </si>
  <si>
    <t xml:space="preserve">CVX-SEC-COMPANYFACTS</t>
  </si>
  <si>
    <t xml:space="preserve">SEC XBRL companyfacts for CIK 0000093410</t>
  </si>
  <si>
    <t xml:space="preserve">https://data.sec.gov/api/xbrl/companyfacts/CIK0000093410.json</t>
  </si>
  <si>
    <t xml:space="preserve">Standardized annual actuals cross-check</t>
  </si>
  <si>
    <t xml:space="preserve">Used as cross-check for revenue, net income, CFO, capex, dividends, buybacks, assets, liabilities, equity.</t>
  </si>
  <si>
    <t xml:space="preserve">CVX-2025-SUPPLEMENT</t>
  </si>
  <si>
    <t xml:space="preserve">2025 Supplement to Annual Report</t>
  </si>
  <si>
    <t xml:space="preserve">https://www.chevron.com/-/media/shared-media/documents/2025-chevron-annual-report-supplement.pdf</t>
  </si>
  <si>
    <t xml:space="preserve">Line-item statement presentation and debt/capital metrics</t>
  </si>
  <si>
    <t xml:space="preserve">Company-published supplement to annual report; used as an auxiliary source.</t>
  </si>
  <si>
    <t xml:space="preserve">$ in millions unless stated otherwise</t>
  </si>
  <si>
    <t xml:space="preserve">2023A</t>
  </si>
  <si>
    <t xml:space="preserve">2024A</t>
  </si>
  <si>
    <t xml:space="preserve">2025A</t>
  </si>
  <si>
    <t xml:space="preserve">Source / tie-out note</t>
  </si>
  <si>
    <t xml:space="preserve">Income Statement</t>
  </si>
  <si>
    <t xml:space="preserve">Sales and other operating revenues</t>
  </si>
  <si>
    <t xml:space="preserve">10-K / annual supplement. 2025 total sales and other operating revenues = $184,432mm.</t>
  </si>
  <si>
    <t xml:space="preserve">Income from equity affiliates</t>
  </si>
  <si>
    <t xml:space="preserve">10-K / annual supplement.</t>
  </si>
  <si>
    <t xml:space="preserve">Other income / (loss)</t>
  </si>
  <si>
    <t xml:space="preserve">Total revenues and other income</t>
  </si>
  <si>
    <t xml:space="preserve">Formula should equal sum of revenue, equity affiliates, other income.</t>
  </si>
  <si>
    <t xml:space="preserve">Purchased crude oil and products</t>
  </si>
  <si>
    <t xml:space="preserve">Operating expenses</t>
  </si>
  <si>
    <t xml:space="preserve">Selling, general and administrative expenses</t>
  </si>
  <si>
    <t xml:space="preserve">Exploration expenses</t>
  </si>
  <si>
    <t xml:space="preserve">Depreciation, depletion and amortization</t>
  </si>
  <si>
    <t xml:space="preserve">Taxes other than on income</t>
  </si>
  <si>
    <t xml:space="preserve">Interest and debt expense</t>
  </si>
  <si>
    <t xml:space="preserve">Other components of net periodic benefit costs</t>
  </si>
  <si>
    <t xml:space="preserve">10-K / annual supplement. 2025 value derived to reconcile total costs.</t>
  </si>
  <si>
    <t xml:space="preserve">Total costs and other deductions</t>
  </si>
  <si>
    <t xml:space="preserve">Formula should equal sum of cost/deduction lines.</t>
  </si>
  <si>
    <t xml:space="preserve">Income before income tax expense</t>
  </si>
  <si>
    <t xml:space="preserve">Income tax expense</t>
  </si>
  <si>
    <t xml:space="preserve">Net income</t>
  </si>
  <si>
    <t xml:space="preserve">10-K / annual supplement; before noncontrolling interests.</t>
  </si>
  <si>
    <t xml:space="preserve">Less: net income attributable to noncontrolling interests</t>
  </si>
  <si>
    <t xml:space="preserve">10-K / annual supplement; 2025 inferred from net income less net income attributable to Chevron.</t>
  </si>
  <si>
    <t xml:space="preserve">Net income attributable to Chevron Corporation</t>
  </si>
  <si>
    <t xml:space="preserve">10-K / annual supplement / SEC companyfacts.</t>
  </si>
  <si>
    <t xml:space="preserve">Diluted EPS ($/share)</t>
  </si>
  <si>
    <t xml:space="preserve">10-K / annual supplement / EPS table.</t>
  </si>
  <si>
    <t xml:space="preserve">Diluted weighted average shares outstanding (mm)</t>
  </si>
  <si>
    <t xml:space="preserve">Calculated from net income attributable / diluted EPS; rounded.</t>
  </si>
  <si>
    <t xml:space="preserve">Balance Sheet</t>
  </si>
  <si>
    <t xml:space="preserve">Cash and cash equivalents</t>
  </si>
  <si>
    <t xml:space="preserve">10-K balance sheet / filings. 2025 cross-checked to cash assets sources.</t>
  </si>
  <si>
    <t xml:space="preserve">Time deposits / marketable securities</t>
  </si>
  <si>
    <t xml:space="preserve">10-K / debt-ratio source; included for net debt / liquidity cross-check.</t>
  </si>
  <si>
    <t xml:space="preserve">Accounts and notes receivable, net</t>
  </si>
  <si>
    <t xml:space="preserve">2023-2024 10-K; 2025 annual balance sheet source cross-check.</t>
  </si>
  <si>
    <t xml:space="preserve">Inventories</t>
  </si>
  <si>
    <t xml:space="preserve">Prepaid expenses and other current assets</t>
  </si>
  <si>
    <t xml:space="preserve">2023-2024 10-K; 2025 annual current assets reconciliation.</t>
  </si>
  <si>
    <t xml:space="preserve">Total current assets</t>
  </si>
  <si>
    <t xml:space="preserve">10-K / balance sheet cross-check.</t>
  </si>
  <si>
    <t xml:space="preserve">Long-term receivables, net</t>
  </si>
  <si>
    <t xml:space="preserve">10-K / annual financial supplement.</t>
  </si>
  <si>
    <t xml:space="preserve">Investments and advances</t>
  </si>
  <si>
    <t xml:space="preserve">10-K / annual balance sheet source cross-check.</t>
  </si>
  <si>
    <t xml:space="preserve">Properties, plant and equipment, net</t>
  </si>
  <si>
    <t xml:space="preserve">10-K / annual balance sheet; 2025 includes Hess acquisition step-up.</t>
  </si>
  <si>
    <t xml:space="preserve">Deferred charges and other assets / goodwill / HFS</t>
  </si>
  <si>
    <t xml:space="preserve">Calculated residual to total assets after sourced line items.</t>
  </si>
  <si>
    <t xml:space="preserve">Total assets</t>
  </si>
  <si>
    <t xml:space="preserve">SEC companyfacts / 10-K balance sheet.</t>
  </si>
  <si>
    <t xml:space="preserve">Short-term debt</t>
  </si>
  <si>
    <t xml:space="preserve">10-K / annual debt reconciliation.</t>
  </si>
  <si>
    <t xml:space="preserve">Accounts payable</t>
  </si>
  <si>
    <t xml:space="preserve">Accrued liabilities</t>
  </si>
  <si>
    <t xml:space="preserve">Federal and other taxes on income</t>
  </si>
  <si>
    <t xml:space="preserve">Other taxes payable</t>
  </si>
  <si>
    <t xml:space="preserve">2023-2024 10-K; 2025 included within other current liabilities from source provider if not separately shown.</t>
  </si>
  <si>
    <t xml:space="preserve">Total current liabilities</t>
  </si>
  <si>
    <t xml:space="preserve">10-K / annual balance sheet cross-check.</t>
  </si>
  <si>
    <t xml:space="preserve">Long-term debt</t>
  </si>
  <si>
    <t xml:space="preserve">Deferred credits and other noncurrent obligations</t>
  </si>
  <si>
    <t xml:space="preserve">2023-2024 10-K; 2025 residual within noncurrent liabilities.</t>
  </si>
  <si>
    <t xml:space="preserve">Noncurrent deferred income taxes</t>
  </si>
  <si>
    <t xml:space="preserve">Noncurrent employee benefit plans</t>
  </si>
  <si>
    <t xml:space="preserve">Total liabilities</t>
  </si>
  <si>
    <t xml:space="preserve">Total Chevron Corporation stockholders' equity</t>
  </si>
  <si>
    <t xml:space="preserve">Noncontrolling interests</t>
  </si>
  <si>
    <t xml:space="preserve">Calculated as total equity less Chevron stockholders' equity.</t>
  </si>
  <si>
    <t xml:space="preserve">Total equity</t>
  </si>
  <si>
    <t xml:space="preserve">Total assets less total liabilities.</t>
  </si>
  <si>
    <t xml:space="preserve">Total liabilities and equity</t>
  </si>
  <si>
    <t xml:space="preserve">Balance sheet check should match total assets.</t>
  </si>
  <si>
    <t xml:space="preserve">Cash Flow Statement</t>
  </si>
  <si>
    <t xml:space="preserve">Net cash provided by operating activities</t>
  </si>
  <si>
    <t xml:space="preserve">SEC companyfacts / 10-K cash flow statement.</t>
  </si>
  <si>
    <t xml:space="preserve">Capital expenditures</t>
  </si>
  <si>
    <t xml:space="preserve">Free cash flow</t>
  </si>
  <si>
    <t xml:space="preserve">Formula: CFO + capex.</t>
  </si>
  <si>
    <t xml:space="preserve">Dividends paid</t>
  </si>
  <si>
    <t xml:space="preserve">Share repurchases</t>
  </si>
  <si>
    <t xml:space="preserve">Net cash provided by / (used in) investing activities</t>
  </si>
  <si>
    <t xml:space="preserve">Cash flow statement / companyfacts cross-check.</t>
  </si>
  <si>
    <t xml:space="preserve">Net cash provided by / (used in) financing activities</t>
  </si>
  <si>
    <t xml:space="preserve">Segment Earnings</t>
  </si>
  <si>
    <t xml:space="preserve">Upstream</t>
  </si>
  <si>
    <t xml:space="preserve">10-K Note 14 / earnings summary.</t>
  </si>
  <si>
    <t xml:space="preserve">Downstream</t>
  </si>
  <si>
    <t xml:space="preserve">All Other</t>
  </si>
  <si>
    <t xml:space="preserve">Total Chevron earnings less segment earnings.</t>
  </si>
  <si>
    <t xml:space="preserve">Ties to income statement.</t>
  </si>
  <si>
    <t xml:space="preserve">Segment Sales and Other Operating Revenues</t>
  </si>
  <si>
    <t xml:space="preserve">Upstream sales</t>
  </si>
  <si>
    <t xml:space="preserve">10-K Note 14 / reportable segment analysis.</t>
  </si>
  <si>
    <t xml:space="preserve">Downstream sales</t>
  </si>
  <si>
    <t xml:space="preserve">All Other / eliminations</t>
  </si>
  <si>
    <t xml:space="preserve">Calculated to tie total sales and other operating revenues.</t>
  </si>
  <si>
    <t xml:space="preserve">Total sales and other operating revenues</t>
  </si>
  <si>
    <t xml:space="preserve">Commodity / operating drivers</t>
  </si>
  <si>
    <t xml:space="preserve">Average Brent crude price ($/bbl)</t>
  </si>
  <si>
    <t xml:space="preserve">MD&amp;A commodity price discussion.</t>
  </si>
  <si>
    <t xml:space="preserve">Average WTI crude price ($/bbl)</t>
  </si>
  <si>
    <t xml:space="preserve">Worldwide net oil-equivalent production (mboe/d)</t>
  </si>
  <si>
    <t xml:space="preserve">MD&amp;A production discussion; 2025 rounded to 3.7mm boe/d.</t>
  </si>
  <si>
    <t xml:space="preserve">Assumption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</si>
  <si>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</si>
  <si>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</si>
  <si>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</si>
  <si>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</si>
  <si>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</si>
  <si>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Sales growth</t>
  </si>
  <si>
    <t xml:space="preserve">Forecast assumption; commodity-sensitive.</t>
  </si>
  <si>
    <t xml:space="preserve">Equity affiliate income % sales</t>
  </si>
  <si>
    <t xml:space="preserve">Normalizes toward historical levels.</t>
  </si>
  <si>
    <t xml:space="preserve">Other income % sales</t>
  </si>
  <si>
    <t xml:space="preserve">Forecast assumption.</t>
  </si>
  <si>
    <t xml:space="preserve">Purchased crude/products % sales</t>
  </si>
  <si>
    <t xml:space="preserve">Operating expense % sales</t>
  </si>
  <si>
    <t xml:space="preserve">SG&amp;A % sales</t>
  </si>
  <si>
    <t xml:space="preserve">Exploration expense % sales</t>
  </si>
  <si>
    <t xml:space="preserve">DD&amp;A % sales</t>
  </si>
  <si>
    <t xml:space="preserve">Taxes other than income % sales</t>
  </si>
  <si>
    <t xml:space="preserve">Interest expense % average debt</t>
  </si>
  <si>
    <t xml:space="preserve">Tax rate</t>
  </si>
  <si>
    <t xml:space="preserve">Forecast assumption based on historical effective tax rate.</t>
  </si>
  <si>
    <t xml:space="preserve">Capex % sales</t>
  </si>
  <si>
    <t xml:space="preserve">Forecast assumption; upstream capital intensity.</t>
  </si>
  <si>
    <t xml:space="preserve">Working capital % sales</t>
  </si>
  <si>
    <t xml:space="preserve">WACC</t>
  </si>
  <si>
    <t xml:space="preserve">Valuation assumption.</t>
  </si>
  <si>
    <t xml:space="preserve">Terminal growth</t>
  </si>
  <si>
    <t xml:space="preserve">Net debt / (cash) for equity bridge</t>
  </si>
  <si>
    <t xml:space="preserve">2025 total debt less cash/time deposits/marketable securities.</t>
  </si>
  <si>
    <t xml:space="preserve">Diluted shares for equity bridge (mm)</t>
  </si>
  <si>
    <t xml:space="preserve">2025 diluted weighted average shares, rounded.</t>
  </si>
  <si>
    <t xml:space="preserve">DD&amp;A</t>
  </si>
  <si>
    <t xml:space="preserve">Taxes other than income</t>
  </si>
  <si>
    <t xml:space="preserve">Cash Flow / FCF</t>
  </si>
  <si>
    <t xml:space="preserve">Less: capital expenditures</t>
  </si>
  <si>
    <t xml:space="preserve">Change in working capital / other</t>
  </si>
  <si>
    <t xml:space="preserve">Unlevered free cash flow</t>
  </si>
  <si>
    <t xml:space="preserve">Balance Sheet / Debt &amp; Liquidity</t>
  </si>
  <si>
    <t xml:space="preserve">Total debt</t>
  </si>
  <si>
    <t xml:space="preserve">Total Chevron stockholders' equity</t>
  </si>
  <si>
    <t xml:space="preserve">Balance check</t>
  </si>
  <si>
    <t xml:space="preserve">DCF Valuation</t>
  </si>
  <si>
    <t xml:space="preserve">Discount period</t>
  </si>
  <si>
    <t xml:space="preserve">Discount factor</t>
  </si>
  <si>
    <t xml:space="preserve">PV of FCF</t>
  </si>
  <si>
    <t xml:space="preserve">Terminal value</t>
  </si>
  <si>
    <t xml:space="preserve">PV of terminal value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</si>
  <si>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</si>
  <si>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</si>
  <si>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</si>
  <si>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</si>
  <si>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share price</t>
  </si>
  <si>
    <t xml:space="preserve">Sensitivity: Implied Share Price</t>
  </si>
  <si>
    <t xml:space="preserve">WACC \ g</t>
  </si>
  <si>
    <t xml:space="preserve">Check</t>
  </si>
  <si>
    <t xml:space="preserve">Status / formula</t>
  </si>
  <si>
    <t xml:space="preserve">Income statement: total revenues tie</t>
  </si>
  <si>
    <t xml:space="preserve">Should be zero</t>
  </si>
  <si>
    <t xml:space="preserve">Income statement: total costs tie</t>
  </si>
  <si>
    <t xml:space="preserve">Income statement: pretax income tie</t>
  </si>
  <si>
    <t xml:space="preserve">Income statement: net income attributable tie</t>
  </si>
  <si>
    <t xml:space="preserve">Balance sheet: assets = liabilities + equity</t>
  </si>
  <si>
    <t xml:space="preserve">Cash flow: FCF = CFO + capex</t>
  </si>
  <si>
    <t xml:space="preserve">Model balance check</t>
  </si>
  <si>
    <t xml:space="preserve">Should be zero across all years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</si>
</sst>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[RED]\(#,##0\);\-"/>
    <numFmt numFmtId="166" formatCode="\$0.00;[RED]&quot;($&quot;0.00\);\-"/>
    <numFmt numFmtId="167" formatCode="0.0%;[RED]\(0.0%\);\-"/>
    <numFmt numFmtId="168" formatCode="0.00\x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8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E7E6E6"/>
        <bgColor rgb="FFD9EAF7"/>
      </patternFill>
    </fill>
    <fill>
      <patternFill patternType="solid">
        <fgColor rgb="FFD9EAF7"/>
        <bgColor rgb="FFE7E6E6"/>
      </patternFill>
    </fill>
    <fill>
      <patternFill patternType="solid">
        <fgColor rgb="FF1F4E78"/>
        <bgColor rgb="FF17365D"/>
      </patternFill>
    </fill>
    <fill>
      <patternFill patternType="solid">
        <fgColor rgb="FFFFF2CC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8"/>
  </cols>
  <sheetData>
    <row r="1" customFormat="false" ht="18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/>
    <row r="3" customFormat="false" ht="18" hidden="false" customHeight="true" outlineLevel="0" collapsed="false">
      <c r="A3" s="3" t="s">
        <v>1</v>
      </c>
      <c r="B3" s="4" t="s">
        <v>2</v>
      </c>
    </row>
    <row r="4" customFormat="false" ht="18" hidden="false" customHeight="true" outlineLevel="0" collapsed="false">
      <c r="A4" s="3" t="s">
        <v>3</v>
      </c>
      <c r="B4" s="4" t="s">
        <v>4</v>
      </c>
    </row>
    <row r="5" customFormat="false" ht="18" hidden="false" customHeight="true" outlineLevel="0" collapsed="false">
      <c r="A5" s="3" t="s">
        <v>5</v>
      </c>
      <c r="B5" s="4" t="s">
        <v>6</v>
      </c>
    </row>
    <row r="6" customFormat="false" ht="18" hidden="false" customHeight="true" outlineLevel="0" collapsed="false">
      <c r="A6" s="3" t="s">
        <v>7</v>
      </c>
      <c r="B6" s="4" t="s">
        <v>8</v>
      </c>
    </row>
    <row r="7" customFormat="false" ht="18" hidden="false" customHeight="true" outlineLevel="0" collapsed="false">
      <c r="A7" s="3" t="s">
        <v>9</v>
      </c>
      <c r="B7" s="4" t="s">
        <v>10</v>
      </c>
    </row>
    <row r="8" customFormat="false" ht="18" hidden="false" customHeight="true" outlineLevel="0" collapsed="false">
      <c r="A8" s="3" t="s">
        <v>11</v>
      </c>
      <c r="B8" s="4" t="s">
        <v>12</v>
      </c>
    </row>
    <row r="9" customFormat="false" ht="18" hidden="false" customHeight="true" outlineLevel="0" collapsed="false">
      <c r="A9" s="3" t="s">
        <v>13</v>
      </c>
      <c r="B9" s="4" t="s">
        <v>14</v>
      </c>
    </row>
    <row r="10" customFormat="false" ht="18" hidden="false" customHeight="true" outlineLevel="0" collapsed="false">
      <c r="A10" s="3" t="s">
        <v>15</v>
      </c>
      <c r="B10" s="4" t="s">
        <v>16</v>
      </c>
    </row>
    <row r="11" customFormat="false" ht="18" hidden="false" customHeight="true" outlineLevel="0" collapsed="false">
      <c r="A11" s="3" t="s">
        <v>17</v>
      </c>
      <c r="B11" s="4" t="s">
        <v>18</v>
      </c>
    </row>
    <row r="12" customFormat="false" ht="18" hidden="false" customHeight="true" outlineLevel="0" collapsed="false">
      <c r="A12" s="3" t="s">
        <v>19</v>
      </c>
      <c r="B12" s="4" t="s">
        <v>20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6" min="3" style="1" width="48"/>
  </cols>
  <sheetData>
    <row r="1" customFormat="false" ht="18" hidden="false" customHeight="true" outlineLevel="0" collapsed="false">
      <c r="A1" s="5" t="s">
        <v>21</v>
      </c>
      <c r="B1" s="5" t="s">
        <v>1</v>
      </c>
      <c r="C1" s="5" t="s">
        <v>22</v>
      </c>
      <c r="D1" s="5" t="s">
        <v>23</v>
      </c>
      <c r="E1" s="5" t="s">
        <v>24</v>
      </c>
      <c r="F1" s="5" t="s">
        <v>25</v>
      </c>
    </row>
    <row r="2" customFormat="false" ht="45" hidden="false" customHeight="true" outlineLevel="0" collapsed="false">
      <c r="A2" s="6" t="s">
        <v>26</v>
      </c>
      <c r="B2" s="6" t="s">
        <v>27</v>
      </c>
      <c r="C2" s="7" t="s">
        <v>28</v>
      </c>
      <c r="D2" s="7" t="s">
        <v>29</v>
      </c>
      <c r="E2" s="7" t="s">
        <v>30</v>
      </c>
      <c r="F2" s="7" t="s">
        <v>31</v>
      </c>
    </row>
    <row r="3" customFormat="false" ht="30" hidden="false" customHeight="true" outlineLevel="0" collapsed="false">
      <c r="A3" s="6" t="s">
        <v>32</v>
      </c>
      <c r="B3" s="6" t="s">
        <v>27</v>
      </c>
      <c r="C3" s="7" t="s">
        <v>33</v>
      </c>
      <c r="D3" s="7" t="s">
        <v>34</v>
      </c>
      <c r="E3" s="7" t="s">
        <v>35</v>
      </c>
      <c r="F3" s="7" t="s">
        <v>36</v>
      </c>
    </row>
    <row r="4" customFormat="false" ht="30" hidden="false" customHeight="true" outlineLevel="0" collapsed="false">
      <c r="A4" s="6" t="s">
        <v>37</v>
      </c>
      <c r="B4" s="6" t="s">
        <v>27</v>
      </c>
      <c r="C4" s="7" t="s">
        <v>38</v>
      </c>
      <c r="D4" s="7" t="s">
        <v>39</v>
      </c>
      <c r="E4" s="7" t="s">
        <v>40</v>
      </c>
      <c r="F4" s="7" t="s">
        <v>41</v>
      </c>
    </row>
    <row r="5" customFormat="false" ht="30" hidden="false" customHeight="true" outlineLevel="0" collapsed="false">
      <c r="A5" s="6" t="s">
        <v>42</v>
      </c>
      <c r="B5" s="6" t="s">
        <v>27</v>
      </c>
      <c r="C5" s="7" t="s">
        <v>43</v>
      </c>
      <c r="D5" s="7" t="s">
        <v>44</v>
      </c>
      <c r="E5" s="7" t="s">
        <v>45</v>
      </c>
      <c r="F5" s="7" t="s">
        <v>46</v>
      </c>
    </row>
    <row r="6" customFormat="false" ht="45" hidden="false" customHeight="true" outlineLevel="0" collapsed="false">
      <c r="A6" s="6" t="s">
        <v>47</v>
      </c>
      <c r="B6" s="6" t="s">
        <v>27</v>
      </c>
      <c r="C6" s="7" t="s">
        <v>48</v>
      </c>
      <c r="D6" s="7" t="s">
        <v>49</v>
      </c>
      <c r="E6" s="7" t="s">
        <v>50</v>
      </c>
      <c r="F6" s="7" t="s">
        <v>51</v>
      </c>
    </row>
    <row r="7" customFormat="false" ht="45" hidden="false" customHeight="true" outlineLevel="0" collapsed="false">
      <c r="A7" s="6" t="s">
        <v>52</v>
      </c>
      <c r="B7" s="6" t="s">
        <v>27</v>
      </c>
      <c r="C7" s="7" t="s">
        <v>53</v>
      </c>
      <c r="D7" s="7" t="s">
        <v>54</v>
      </c>
      <c r="E7" s="7" t="s">
        <v>55</v>
      </c>
      <c r="F7" s="7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3"/>
    <col collapsed="false" customWidth="true" hidden="false" outlineLevel="0" max="5" min="5" style="1" width="48"/>
  </cols>
  <sheetData>
    <row r="1" customFormat="false" ht="18" hidden="false" customHeight="true" outlineLevel="0" collapsed="false">
      <c r="A1" s="8" t="s">
        <v>57</v>
      </c>
      <c r="B1" s="8" t="s">
        <v>58</v>
      </c>
      <c r="C1" s="8" t="s">
        <v>59</v>
      </c>
      <c r="D1" s="8" t="s">
        <v>60</v>
      </c>
      <c r="E1" s="5" t="s">
        <v>61</v>
      </c>
    </row>
    <row r="2" customFormat="false" ht="18" hidden="false" customHeight="true" outlineLevel="0" collapsed="false">
      <c r="A2" s="9" t="s">
        <v>62</v>
      </c>
      <c r="B2" s="9"/>
      <c r="C2" s="9"/>
      <c r="D2" s="9"/>
      <c r="E2" s="9"/>
    </row>
    <row r="3" customFormat="false" ht="30" hidden="false" customHeight="true" outlineLevel="0" collapsed="false">
      <c r="A3" s="6" t="s">
        <v>63</v>
      </c>
      <c r="B3" s="10" t="n">
        <v>196913</v>
      </c>
      <c r="C3" s="10" t="n">
        <v>193414</v>
      </c>
      <c r="D3" s="10" t="n">
        <v>184432</v>
      </c>
      <c r="E3" s="7" t="s">
        <v>64</v>
      </c>
    </row>
    <row r="4" customFormat="false" ht="15" hidden="false" customHeight="true" outlineLevel="0" collapsed="false">
      <c r="A4" s="6" t="s">
        <v>65</v>
      </c>
      <c r="B4" s="10" t="n">
        <v>5131</v>
      </c>
      <c r="C4" s="10" t="n">
        <v>4596</v>
      </c>
      <c r="D4" s="10" t="n">
        <v>3000</v>
      </c>
      <c r="E4" s="7" t="s">
        <v>66</v>
      </c>
    </row>
    <row r="5" customFormat="false" ht="15" hidden="false" customHeight="true" outlineLevel="0" collapsed="false">
      <c r="A5" s="6" t="s">
        <v>67</v>
      </c>
      <c r="B5" s="10" t="n">
        <v>-1095</v>
      </c>
      <c r="C5" s="10" t="n">
        <v>4782</v>
      </c>
      <c r="D5" s="10" t="n">
        <v>1599</v>
      </c>
      <c r="E5" s="7" t="s">
        <v>66</v>
      </c>
    </row>
    <row r="6" customFormat="false" ht="30" hidden="false" customHeight="true" outlineLevel="0" collapsed="false">
      <c r="A6" s="6" t="s">
        <v>68</v>
      </c>
      <c r="B6" s="10" t="n">
        <v>200949</v>
      </c>
      <c r="C6" s="10" t="n">
        <v>202792</v>
      </c>
      <c r="D6" s="10" t="n">
        <v>189031</v>
      </c>
      <c r="E6" s="7" t="s">
        <v>69</v>
      </c>
    </row>
    <row r="7" customFormat="false" ht="15" hidden="false" customHeight="true" outlineLevel="0" collapsed="false">
      <c r="A7" s="6" t="s">
        <v>70</v>
      </c>
      <c r="B7" s="10" t="n">
        <v>-119196</v>
      </c>
      <c r="C7" s="10" t="n">
        <v>-119206</v>
      </c>
      <c r="D7" s="10" t="n">
        <v>-108214</v>
      </c>
      <c r="E7" s="7" t="s">
        <v>66</v>
      </c>
    </row>
    <row r="8" customFormat="false" ht="15" hidden="false" customHeight="true" outlineLevel="0" collapsed="false">
      <c r="A8" s="6" t="s">
        <v>71</v>
      </c>
      <c r="B8" s="10" t="n">
        <v>-24887</v>
      </c>
      <c r="C8" s="10" t="n">
        <v>-27464</v>
      </c>
      <c r="D8" s="10" t="n">
        <v>-28005</v>
      </c>
      <c r="E8" s="7" t="s">
        <v>66</v>
      </c>
    </row>
    <row r="9" customFormat="false" ht="15" hidden="false" customHeight="true" outlineLevel="0" collapsed="false">
      <c r="A9" s="6" t="s">
        <v>72</v>
      </c>
      <c r="B9" s="10" t="n">
        <v>-4141</v>
      </c>
      <c r="C9" s="10" t="n">
        <v>-4834</v>
      </c>
      <c r="D9" s="10" t="n">
        <v>-5126</v>
      </c>
      <c r="E9" s="7" t="s">
        <v>66</v>
      </c>
    </row>
    <row r="10" customFormat="false" ht="15" hidden="false" customHeight="true" outlineLevel="0" collapsed="false">
      <c r="A10" s="6" t="s">
        <v>73</v>
      </c>
      <c r="B10" s="10" t="n">
        <v>-914</v>
      </c>
      <c r="C10" s="10" t="n">
        <v>-995</v>
      </c>
      <c r="D10" s="10" t="n">
        <v>-1051</v>
      </c>
      <c r="E10" s="7" t="s">
        <v>66</v>
      </c>
    </row>
    <row r="11" customFormat="false" ht="15" hidden="false" customHeight="true" outlineLevel="0" collapsed="false">
      <c r="A11" s="6" t="s">
        <v>74</v>
      </c>
      <c r="B11" s="10" t="n">
        <v>-17326</v>
      </c>
      <c r="C11" s="10" t="n">
        <v>-17282</v>
      </c>
      <c r="D11" s="10" t="n">
        <v>-20132</v>
      </c>
      <c r="E11" s="7" t="s">
        <v>66</v>
      </c>
    </row>
    <row r="12" customFormat="false" ht="15" hidden="false" customHeight="true" outlineLevel="0" collapsed="false">
      <c r="A12" s="6" t="s">
        <v>75</v>
      </c>
      <c r="B12" s="10" t="n">
        <v>-4220</v>
      </c>
      <c r="C12" s="10" t="n">
        <v>-4716</v>
      </c>
      <c r="D12" s="10" t="n">
        <v>-5230</v>
      </c>
      <c r="E12" s="7" t="s">
        <v>66</v>
      </c>
    </row>
    <row r="13" customFormat="false" ht="15" hidden="false" customHeight="true" outlineLevel="0" collapsed="false">
      <c r="A13" s="6" t="s">
        <v>76</v>
      </c>
      <c r="B13" s="10" t="n">
        <v>-469</v>
      </c>
      <c r="C13" s="10" t="n">
        <v>-594</v>
      </c>
      <c r="D13" s="10" t="n">
        <v>-1217</v>
      </c>
      <c r="E13" s="7" t="s">
        <v>66</v>
      </c>
    </row>
    <row r="14" customFormat="false" ht="30" hidden="false" customHeight="true" outlineLevel="0" collapsed="false">
      <c r="A14" s="6" t="s">
        <v>77</v>
      </c>
      <c r="B14" s="10" t="n">
        <v>-212</v>
      </c>
      <c r="C14" s="10" t="n">
        <v>-195</v>
      </c>
      <c r="D14" s="10" t="n">
        <v>-313</v>
      </c>
      <c r="E14" s="7" t="s">
        <v>78</v>
      </c>
    </row>
    <row r="15" customFormat="false" ht="30" hidden="false" customHeight="true" outlineLevel="0" collapsed="false">
      <c r="A15" s="6" t="s">
        <v>79</v>
      </c>
      <c r="B15" s="10" t="n">
        <v>-171365</v>
      </c>
      <c r="C15" s="10" t="n">
        <v>-175286</v>
      </c>
      <c r="D15" s="10" t="n">
        <v>-169288</v>
      </c>
      <c r="E15" s="7" t="s">
        <v>80</v>
      </c>
    </row>
    <row r="16" customFormat="false" ht="15" hidden="false" customHeight="true" outlineLevel="0" collapsed="false">
      <c r="A16" s="6" t="s">
        <v>81</v>
      </c>
      <c r="B16" s="10" t="n">
        <v>29584</v>
      </c>
      <c r="C16" s="10" t="n">
        <v>27506</v>
      </c>
      <c r="D16" s="10" t="n">
        <v>19743</v>
      </c>
      <c r="E16" s="7" t="s">
        <v>66</v>
      </c>
    </row>
    <row r="17" customFormat="false" ht="15" hidden="false" customHeight="true" outlineLevel="0" collapsed="false">
      <c r="A17" s="6" t="s">
        <v>82</v>
      </c>
      <c r="B17" s="10" t="n">
        <v>-8173</v>
      </c>
      <c r="C17" s="10" t="n">
        <v>-9757</v>
      </c>
      <c r="D17" s="10" t="n">
        <v>-7258</v>
      </c>
      <c r="E17" s="7" t="s">
        <v>66</v>
      </c>
    </row>
    <row r="18" customFormat="false" ht="30" hidden="false" customHeight="true" outlineLevel="0" collapsed="false">
      <c r="A18" s="6" t="s">
        <v>83</v>
      </c>
      <c r="B18" s="10" t="n">
        <v>21411</v>
      </c>
      <c r="C18" s="10" t="n">
        <v>17749</v>
      </c>
      <c r="D18" s="10" t="n">
        <v>12485</v>
      </c>
      <c r="E18" s="7" t="s">
        <v>84</v>
      </c>
    </row>
    <row r="19" customFormat="false" ht="45" hidden="false" customHeight="true" outlineLevel="0" collapsed="false">
      <c r="A19" s="6" t="s">
        <v>85</v>
      </c>
      <c r="B19" s="10" t="n">
        <v>-42</v>
      </c>
      <c r="C19" s="10" t="n">
        <v>-88</v>
      </c>
      <c r="D19" s="10" t="n">
        <v>-186</v>
      </c>
      <c r="E19" s="7" t="s">
        <v>86</v>
      </c>
    </row>
    <row r="20" customFormat="false" ht="15" hidden="false" customHeight="true" outlineLevel="0" collapsed="false">
      <c r="A20" s="6" t="s">
        <v>87</v>
      </c>
      <c r="B20" s="11" t="n">
        <v>21369</v>
      </c>
      <c r="C20" s="11" t="n">
        <v>17661</v>
      </c>
      <c r="D20" s="11" t="n">
        <v>12299</v>
      </c>
      <c r="E20" s="7" t="s">
        <v>88</v>
      </c>
    </row>
    <row r="21" customFormat="false" ht="15" hidden="false" customHeight="true" outlineLevel="0" collapsed="false">
      <c r="A21" s="6" t="s">
        <v>89</v>
      </c>
      <c r="B21" s="10" t="n">
        <v>11.36</v>
      </c>
      <c r="C21" s="10" t="n">
        <v>9.72</v>
      </c>
      <c r="D21" s="10" t="n">
        <v>6.63</v>
      </c>
      <c r="E21" s="7" t="s">
        <v>90</v>
      </c>
    </row>
    <row r="22" customFormat="false" ht="30" hidden="false" customHeight="true" outlineLevel="0" collapsed="false">
      <c r="A22" s="6" t="s">
        <v>91</v>
      </c>
      <c r="B22" s="12" t="n">
        <v>1881</v>
      </c>
      <c r="C22" s="12" t="n">
        <v>1817</v>
      </c>
      <c r="D22" s="12" t="n">
        <v>1856</v>
      </c>
      <c r="E22" s="7" t="s">
        <v>92</v>
      </c>
    </row>
    <row r="23" customFormat="false" ht="15" hidden="false" customHeight="true" outlineLevel="0" collapsed="false"/>
    <row r="24" customFormat="false" ht="18" hidden="false" customHeight="true" outlineLevel="0" collapsed="false">
      <c r="A24" s="9" t="s">
        <v>93</v>
      </c>
      <c r="B24" s="9"/>
      <c r="C24" s="9"/>
      <c r="D24" s="9"/>
      <c r="E24" s="9"/>
    </row>
    <row r="25" customFormat="false" ht="30" hidden="false" customHeight="true" outlineLevel="0" collapsed="false">
      <c r="A25" s="6" t="s">
        <v>94</v>
      </c>
      <c r="B25" s="10" t="n">
        <v>8178</v>
      </c>
      <c r="C25" s="10" t="n">
        <v>6781</v>
      </c>
      <c r="D25" s="10" t="n">
        <v>6297</v>
      </c>
      <c r="E25" s="7" t="s">
        <v>95</v>
      </c>
    </row>
    <row r="26" customFormat="false" ht="30" hidden="false" customHeight="true" outlineLevel="0" collapsed="false">
      <c r="A26" s="6" t="s">
        <v>96</v>
      </c>
      <c r="B26" s="10" t="n">
        <v>45</v>
      </c>
      <c r="C26" s="10" t="n">
        <v>4</v>
      </c>
      <c r="D26" s="10" t="n">
        <v>174</v>
      </c>
      <c r="E26" s="7" t="s">
        <v>97</v>
      </c>
    </row>
    <row r="27" customFormat="false" ht="30" hidden="false" customHeight="true" outlineLevel="0" collapsed="false">
      <c r="A27" s="6" t="s">
        <v>98</v>
      </c>
      <c r="B27" s="10" t="n">
        <v>19921</v>
      </c>
      <c r="C27" s="10" t="n">
        <v>20684</v>
      </c>
      <c r="D27" s="10" t="n">
        <v>18075</v>
      </c>
      <c r="E27" s="7" t="s">
        <v>99</v>
      </c>
    </row>
    <row r="28" customFormat="false" ht="30" hidden="false" customHeight="true" outlineLevel="0" collapsed="false">
      <c r="A28" s="6" t="s">
        <v>100</v>
      </c>
      <c r="B28" s="10" t="n">
        <v>8612</v>
      </c>
      <c r="C28" s="10" t="n">
        <v>9074</v>
      </c>
      <c r="D28" s="10" t="n">
        <v>9711</v>
      </c>
      <c r="E28" s="7" t="s">
        <v>99</v>
      </c>
    </row>
    <row r="29" customFormat="false" ht="30" hidden="false" customHeight="true" outlineLevel="0" collapsed="false">
      <c r="A29" s="6" t="s">
        <v>101</v>
      </c>
      <c r="B29" s="10" t="n">
        <v>4372</v>
      </c>
      <c r="C29" s="10" t="n">
        <v>4368</v>
      </c>
      <c r="D29" s="10" t="n">
        <v>4295</v>
      </c>
      <c r="E29" s="7" t="s">
        <v>102</v>
      </c>
    </row>
    <row r="30" customFormat="false" ht="15" hidden="false" customHeight="true" outlineLevel="0" collapsed="false">
      <c r="A30" s="6" t="s">
        <v>103</v>
      </c>
      <c r="B30" s="10" t="n">
        <v>41128</v>
      </c>
      <c r="C30" s="10" t="n">
        <v>40911</v>
      </c>
      <c r="D30" s="10" t="n">
        <v>38552</v>
      </c>
      <c r="E30" s="7" t="s">
        <v>104</v>
      </c>
    </row>
    <row r="31" customFormat="false" ht="15" hidden="false" customHeight="true" outlineLevel="0" collapsed="false">
      <c r="A31" s="6" t="s">
        <v>105</v>
      </c>
      <c r="B31" s="10" t="n">
        <v>942</v>
      </c>
      <c r="C31" s="10" t="n">
        <v>877</v>
      </c>
      <c r="D31" s="10" t="n">
        <v>1069</v>
      </c>
      <c r="E31" s="7" t="s">
        <v>106</v>
      </c>
    </row>
    <row r="32" customFormat="false" ht="30" hidden="false" customHeight="true" outlineLevel="0" collapsed="false">
      <c r="A32" s="6" t="s">
        <v>107</v>
      </c>
      <c r="B32" s="10" t="n">
        <v>46812</v>
      </c>
      <c r="C32" s="10" t="n">
        <v>47438</v>
      </c>
      <c r="D32" s="10" t="n">
        <v>43867</v>
      </c>
      <c r="E32" s="7" t="s">
        <v>108</v>
      </c>
    </row>
    <row r="33" customFormat="false" ht="30" hidden="false" customHeight="true" outlineLevel="0" collapsed="false">
      <c r="A33" s="6" t="s">
        <v>109</v>
      </c>
      <c r="B33" s="10" t="n">
        <v>148775</v>
      </c>
      <c r="C33" s="10" t="n">
        <v>147799</v>
      </c>
      <c r="D33" s="10" t="n">
        <v>219729</v>
      </c>
      <c r="E33" s="7" t="s">
        <v>110</v>
      </c>
    </row>
    <row r="34" customFormat="false" ht="30" hidden="false" customHeight="true" outlineLevel="0" collapsed="false">
      <c r="A34" s="6" t="s">
        <v>111</v>
      </c>
      <c r="B34" s="10" t="n">
        <v>23975</v>
      </c>
      <c r="C34" s="10" t="n">
        <v>19913</v>
      </c>
      <c r="D34" s="10" t="n">
        <v>20795</v>
      </c>
      <c r="E34" s="7" t="s">
        <v>112</v>
      </c>
    </row>
    <row r="35" customFormat="false" ht="15" hidden="false" customHeight="true" outlineLevel="0" collapsed="false">
      <c r="A35" s="6" t="s">
        <v>113</v>
      </c>
      <c r="B35" s="10" t="n">
        <v>261632</v>
      </c>
      <c r="C35" s="10" t="n">
        <v>256938</v>
      </c>
      <c r="D35" s="10" t="n">
        <v>324012</v>
      </c>
      <c r="E35" s="7" t="s">
        <v>114</v>
      </c>
    </row>
    <row r="36" customFormat="false" ht="15" hidden="false" customHeight="true" outlineLevel="0" collapsed="false">
      <c r="A36" s="6" t="s">
        <v>115</v>
      </c>
      <c r="B36" s="10" t="n">
        <v>529</v>
      </c>
      <c r="C36" s="10" t="n">
        <v>4406</v>
      </c>
      <c r="D36" s="10" t="n">
        <v>977</v>
      </c>
      <c r="E36" s="7" t="s">
        <v>116</v>
      </c>
    </row>
    <row r="37" customFormat="false" ht="30" hidden="false" customHeight="true" outlineLevel="0" collapsed="false">
      <c r="A37" s="6" t="s">
        <v>117</v>
      </c>
      <c r="B37" s="10" t="n">
        <v>20423</v>
      </c>
      <c r="C37" s="10" t="n">
        <v>22079</v>
      </c>
      <c r="D37" s="10" t="n">
        <v>19280</v>
      </c>
      <c r="E37" s="7" t="s">
        <v>108</v>
      </c>
    </row>
    <row r="38" customFormat="false" ht="30" hidden="false" customHeight="true" outlineLevel="0" collapsed="false">
      <c r="A38" s="6" t="s">
        <v>118</v>
      </c>
      <c r="B38" s="10" t="n">
        <v>9443</v>
      </c>
      <c r="C38" s="10" t="n">
        <v>8486</v>
      </c>
      <c r="D38" s="10" t="n">
        <v>12286</v>
      </c>
      <c r="E38" s="7" t="s">
        <v>108</v>
      </c>
    </row>
    <row r="39" customFormat="false" ht="30" hidden="false" customHeight="true" outlineLevel="0" collapsed="false">
      <c r="A39" s="6" t="s">
        <v>119</v>
      </c>
      <c r="B39" s="10" t="n">
        <v>1863</v>
      </c>
      <c r="C39" s="10" t="n">
        <v>1872</v>
      </c>
      <c r="D39" s="10" t="n">
        <v>844</v>
      </c>
      <c r="E39" s="7" t="s">
        <v>108</v>
      </c>
    </row>
    <row r="40" customFormat="false" ht="45" hidden="false" customHeight="true" outlineLevel="0" collapsed="false">
      <c r="A40" s="6" t="s">
        <v>120</v>
      </c>
      <c r="B40" s="10" t="n">
        <v>1715</v>
      </c>
      <c r="C40" s="10" t="n">
        <v>1715</v>
      </c>
      <c r="D40" s="10" t="n">
        <v>0</v>
      </c>
      <c r="E40" s="7" t="s">
        <v>121</v>
      </c>
    </row>
    <row r="41" customFormat="false" ht="15" hidden="false" customHeight="true" outlineLevel="0" collapsed="false">
      <c r="A41" s="6" t="s">
        <v>122</v>
      </c>
      <c r="B41" s="10" t="n">
        <v>32258</v>
      </c>
      <c r="C41" s="10" t="n">
        <v>38558</v>
      </c>
      <c r="D41" s="10" t="n">
        <v>33387</v>
      </c>
      <c r="E41" s="7" t="s">
        <v>123</v>
      </c>
    </row>
    <row r="42" customFormat="false" ht="15" hidden="false" customHeight="true" outlineLevel="0" collapsed="false">
      <c r="A42" s="6" t="s">
        <v>124</v>
      </c>
      <c r="B42" s="10" t="n">
        <v>20307</v>
      </c>
      <c r="C42" s="10" t="n">
        <v>20135</v>
      </c>
      <c r="D42" s="10" t="n">
        <v>39781</v>
      </c>
      <c r="E42" s="7" t="s">
        <v>116</v>
      </c>
    </row>
    <row r="43" customFormat="false" ht="30" hidden="false" customHeight="true" outlineLevel="0" collapsed="false">
      <c r="A43" s="6" t="s">
        <v>125</v>
      </c>
      <c r="B43" s="10" t="n">
        <v>24226</v>
      </c>
      <c r="C43" s="10" t="n">
        <v>22094</v>
      </c>
      <c r="D43" s="10" t="n">
        <v>23437</v>
      </c>
      <c r="E43" s="7" t="s">
        <v>126</v>
      </c>
    </row>
    <row r="44" customFormat="false" ht="30" hidden="false" customHeight="true" outlineLevel="0" collapsed="false">
      <c r="A44" s="6" t="s">
        <v>127</v>
      </c>
      <c r="B44" s="10" t="n">
        <v>18830</v>
      </c>
      <c r="C44" s="10" t="n">
        <v>19137</v>
      </c>
      <c r="D44" s="10" t="n">
        <v>54757</v>
      </c>
      <c r="E44" s="7" t="s">
        <v>108</v>
      </c>
    </row>
    <row r="45" customFormat="false" ht="30" hidden="false" customHeight="true" outlineLevel="0" collapsed="false">
      <c r="A45" s="6" t="s">
        <v>128</v>
      </c>
      <c r="B45" s="10" t="n">
        <v>4082</v>
      </c>
      <c r="C45" s="10" t="n">
        <v>3857</v>
      </c>
      <c r="D45" s="10" t="n">
        <v>4111</v>
      </c>
      <c r="E45" s="7" t="s">
        <v>108</v>
      </c>
    </row>
    <row r="46" customFormat="false" ht="15" hidden="false" customHeight="true" outlineLevel="0" collapsed="false">
      <c r="A46" s="6" t="s">
        <v>129</v>
      </c>
      <c r="B46" s="10" t="n">
        <v>99703</v>
      </c>
      <c r="C46" s="10" t="n">
        <v>103781</v>
      </c>
      <c r="D46" s="10" t="n">
        <v>131836</v>
      </c>
      <c r="E46" s="7" t="s">
        <v>114</v>
      </c>
    </row>
    <row r="47" customFormat="false" ht="15" hidden="false" customHeight="true" outlineLevel="0" collapsed="false">
      <c r="A47" s="6" t="s">
        <v>130</v>
      </c>
      <c r="B47" s="10" t="n">
        <v>160957</v>
      </c>
      <c r="C47" s="10" t="n">
        <v>152318</v>
      </c>
      <c r="D47" s="10" t="n">
        <v>186450</v>
      </c>
      <c r="E47" s="7" t="s">
        <v>114</v>
      </c>
    </row>
    <row r="48" customFormat="false" ht="30" hidden="false" customHeight="true" outlineLevel="0" collapsed="false">
      <c r="A48" s="6" t="s">
        <v>131</v>
      </c>
      <c r="B48" s="10" t="n">
        <v>972</v>
      </c>
      <c r="C48" s="10" t="n">
        <v>839</v>
      </c>
      <c r="D48" s="10" t="n">
        <v>5726</v>
      </c>
      <c r="E48" s="7" t="s">
        <v>132</v>
      </c>
    </row>
    <row r="49" customFormat="false" ht="15" hidden="false" customHeight="true" outlineLevel="0" collapsed="false">
      <c r="A49" s="6" t="s">
        <v>133</v>
      </c>
      <c r="B49" s="10" t="n">
        <v>161929</v>
      </c>
      <c r="C49" s="10" t="n">
        <v>153157</v>
      </c>
      <c r="D49" s="10" t="n">
        <v>192176</v>
      </c>
      <c r="E49" s="7" t="s">
        <v>134</v>
      </c>
    </row>
    <row r="50" customFormat="false" ht="15" hidden="false" customHeight="true" outlineLevel="0" collapsed="false">
      <c r="A50" s="6" t="s">
        <v>135</v>
      </c>
      <c r="B50" s="10" t="n">
        <v>261632</v>
      </c>
      <c r="C50" s="10" t="n">
        <v>256938</v>
      </c>
      <c r="D50" s="10" t="n">
        <v>324012</v>
      </c>
      <c r="E50" s="7" t="s">
        <v>136</v>
      </c>
    </row>
    <row r="51" customFormat="false" ht="15" hidden="false" customHeight="true" outlineLevel="0" collapsed="false">
      <c r="B51" s="13"/>
      <c r="C51" s="13"/>
      <c r="D51" s="13"/>
    </row>
    <row r="52" customFormat="false" ht="15" hidden="false" customHeight="true" outlineLevel="0" collapsed="false">
      <c r="A52" s="6" t="s">
        <v>137</v>
      </c>
      <c r="B52" s="13"/>
      <c r="C52" s="13"/>
      <c r="D52" s="13"/>
    </row>
    <row r="53" customFormat="false" ht="18" hidden="false" customHeight="true" outlineLevel="0" collapsed="false">
      <c r="A53" s="9" t="s">
        <v>138</v>
      </c>
      <c r="B53" s="14" t="n">
        <v>35609</v>
      </c>
      <c r="C53" s="14" t="n">
        <v>31492</v>
      </c>
      <c r="D53" s="14" t="n">
        <v>33939</v>
      </c>
      <c r="E53" s="9" t="s">
        <v>139</v>
      </c>
    </row>
    <row r="54" customFormat="false" ht="15" hidden="false" customHeight="true" outlineLevel="0" collapsed="false">
      <c r="A54" s="6" t="s">
        <v>140</v>
      </c>
      <c r="B54" s="10" t="n">
        <v>-15829</v>
      </c>
      <c r="C54" s="10" t="n">
        <v>-16448</v>
      </c>
      <c r="D54" s="10" t="n">
        <v>-17347</v>
      </c>
      <c r="E54" s="7" t="s">
        <v>139</v>
      </c>
    </row>
    <row r="55" customFormat="false" ht="15" hidden="false" customHeight="true" outlineLevel="0" collapsed="false">
      <c r="A55" s="6" t="s">
        <v>141</v>
      </c>
      <c r="B55" s="10" t="n">
        <v>19780</v>
      </c>
      <c r="C55" s="10" t="n">
        <v>15044</v>
      </c>
      <c r="D55" s="10" t="n">
        <v>16592</v>
      </c>
      <c r="E55" s="7" t="s">
        <v>142</v>
      </c>
    </row>
    <row r="56" customFormat="false" ht="15" hidden="false" customHeight="true" outlineLevel="0" collapsed="false">
      <c r="A56" s="6" t="s">
        <v>143</v>
      </c>
      <c r="B56" s="10" t="n">
        <v>-11336</v>
      </c>
      <c r="C56" s="10" t="n">
        <v>-11801</v>
      </c>
      <c r="D56" s="10" t="n">
        <v>-12751</v>
      </c>
      <c r="E56" s="7" t="s">
        <v>139</v>
      </c>
    </row>
    <row r="57" customFormat="false" ht="15" hidden="false" customHeight="true" outlineLevel="0" collapsed="false">
      <c r="A57" s="6" t="s">
        <v>144</v>
      </c>
      <c r="B57" s="10" t="n">
        <v>-14939</v>
      </c>
      <c r="C57" s="10" t="n">
        <v>-15229</v>
      </c>
      <c r="D57" s="10" t="n">
        <v>-12079</v>
      </c>
      <c r="E57" s="7" t="s">
        <v>139</v>
      </c>
    </row>
    <row r="58" customFormat="false" ht="30" hidden="false" customHeight="true" outlineLevel="0" collapsed="false">
      <c r="A58" s="6" t="s">
        <v>145</v>
      </c>
      <c r="B58" s="10" t="n">
        <v>-14032</v>
      </c>
      <c r="C58" s="10" t="n">
        <v>-15757</v>
      </c>
      <c r="D58" s="10" t="n">
        <v>-15908</v>
      </c>
      <c r="E58" s="7" t="s">
        <v>146</v>
      </c>
    </row>
    <row r="59" customFormat="false" ht="30" hidden="false" customHeight="true" outlineLevel="0" collapsed="false">
      <c r="A59" s="6" t="s">
        <v>147</v>
      </c>
      <c r="B59" s="10" t="n">
        <v>-23604</v>
      </c>
      <c r="C59" s="10" t="n">
        <v>-23446</v>
      </c>
      <c r="D59" s="10" t="n">
        <v>-19064</v>
      </c>
      <c r="E59" s="7" t="s">
        <v>146</v>
      </c>
    </row>
    <row r="60" customFormat="false" ht="15" hidden="false" customHeight="true" outlineLevel="0" collapsed="false">
      <c r="B60" s="15"/>
      <c r="C60" s="15"/>
      <c r="D60" s="15"/>
    </row>
    <row r="61" customFormat="false" ht="15" hidden="false" customHeight="true" outlineLevel="0" collapsed="false">
      <c r="B61" s="15"/>
      <c r="C61" s="15"/>
      <c r="D61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3"/>
    <col collapsed="false" customWidth="true" hidden="false" outlineLevel="0" max="5" min="5" style="1" width="48"/>
  </cols>
  <sheetData>
    <row r="1" customFormat="false" ht="18" hidden="false" customHeight="true" outlineLevel="0" collapsed="false">
      <c r="A1" s="8" t="s">
        <v>57</v>
      </c>
      <c r="B1" s="8" t="s">
        <v>58</v>
      </c>
      <c r="C1" s="8" t="s">
        <v>59</v>
      </c>
      <c r="D1" s="8" t="s">
        <v>60</v>
      </c>
      <c r="E1" s="5" t="s">
        <v>61</v>
      </c>
    </row>
    <row r="2" customFormat="false" ht="18" hidden="false" customHeight="true" outlineLevel="0" collapsed="false">
      <c r="A2" s="9" t="s">
        <v>148</v>
      </c>
      <c r="B2" s="9"/>
      <c r="C2" s="9"/>
      <c r="D2" s="9"/>
      <c r="E2" s="9"/>
    </row>
    <row r="3" customFormat="false" ht="15" hidden="false" customHeight="true" outlineLevel="0" collapsed="false">
      <c r="A3" s="6" t="s">
        <v>149</v>
      </c>
      <c r="B3" s="10" t="n">
        <v>17438</v>
      </c>
      <c r="C3" s="10" t="n">
        <v>18602</v>
      </c>
      <c r="D3" s="10" t="n">
        <v>12822</v>
      </c>
      <c r="E3" s="7" t="s">
        <v>150</v>
      </c>
    </row>
    <row r="4" customFormat="false" ht="15" hidden="false" customHeight="true" outlineLevel="0" collapsed="false">
      <c r="A4" s="6" t="s">
        <v>151</v>
      </c>
      <c r="B4" s="10" t="n">
        <v>6137</v>
      </c>
      <c r="C4" s="10" t="n">
        <v>1727</v>
      </c>
      <c r="D4" s="10" t="n">
        <v>3022</v>
      </c>
      <c r="E4" s="7" t="s">
        <v>150</v>
      </c>
    </row>
    <row r="5" customFormat="false" ht="15" hidden="false" customHeight="true" outlineLevel="0" collapsed="false">
      <c r="A5" s="6" t="s">
        <v>152</v>
      </c>
      <c r="B5" s="10" t="n">
        <v>-2206</v>
      </c>
      <c r="C5" s="10" t="n">
        <v>-2668</v>
      </c>
      <c r="D5" s="10" t="n">
        <v>-3545</v>
      </c>
      <c r="E5" s="7" t="s">
        <v>153</v>
      </c>
    </row>
    <row r="6" customFormat="false" ht="15" hidden="false" customHeight="true" outlineLevel="0" collapsed="false">
      <c r="A6" s="6" t="s">
        <v>87</v>
      </c>
      <c r="B6" s="10" t="n">
        <v>21369</v>
      </c>
      <c r="C6" s="10" t="n">
        <v>17661</v>
      </c>
      <c r="D6" s="10" t="n">
        <v>12299</v>
      </c>
      <c r="E6" s="7" t="s">
        <v>154</v>
      </c>
    </row>
    <row r="7" customFormat="false" ht="15" hidden="false" customHeight="true" outlineLevel="0" collapsed="false">
      <c r="B7" s="15"/>
      <c r="C7" s="15"/>
      <c r="D7" s="15"/>
    </row>
    <row r="8" customFormat="false" ht="18" hidden="false" customHeight="true" outlineLevel="0" collapsed="false">
      <c r="A8" s="9" t="s">
        <v>155</v>
      </c>
      <c r="B8" s="16"/>
      <c r="C8" s="16"/>
      <c r="D8" s="16"/>
      <c r="E8" s="9"/>
    </row>
    <row r="9" customFormat="false" ht="15" hidden="false" customHeight="true" outlineLevel="0" collapsed="false">
      <c r="A9" s="6" t="s">
        <v>156</v>
      </c>
      <c r="B9" s="10" t="n">
        <v>83920</v>
      </c>
      <c r="C9" s="10" t="n">
        <v>87768</v>
      </c>
      <c r="D9" s="10" t="n">
        <v>88379</v>
      </c>
      <c r="E9" s="7" t="s">
        <v>157</v>
      </c>
    </row>
    <row r="10" customFormat="false" ht="15" hidden="false" customHeight="true" outlineLevel="0" collapsed="false">
      <c r="A10" s="6" t="s">
        <v>158</v>
      </c>
      <c r="B10" s="10" t="n">
        <v>161625</v>
      </c>
      <c r="C10" s="10" t="n">
        <v>157847</v>
      </c>
      <c r="D10" s="10" t="n">
        <v>142410</v>
      </c>
      <c r="E10" s="7" t="s">
        <v>157</v>
      </c>
    </row>
    <row r="11" customFormat="false" ht="30" hidden="false" customHeight="true" outlineLevel="0" collapsed="false">
      <c r="A11" s="6" t="s">
        <v>159</v>
      </c>
      <c r="B11" s="10" t="n">
        <v>-88632</v>
      </c>
      <c r="C11" s="10" t="n">
        <v>-52201</v>
      </c>
      <c r="D11" s="10" t="n">
        <v>-46357</v>
      </c>
      <c r="E11" s="7" t="s">
        <v>160</v>
      </c>
    </row>
    <row r="12" customFormat="false" ht="15" hidden="false" customHeight="true" outlineLevel="0" collapsed="false">
      <c r="A12" s="6" t="s">
        <v>161</v>
      </c>
      <c r="B12" s="10" t="n">
        <v>196913</v>
      </c>
      <c r="C12" s="10" t="n">
        <v>193414</v>
      </c>
      <c r="D12" s="10" t="n">
        <v>184432</v>
      </c>
      <c r="E12" s="7" t="s">
        <v>154</v>
      </c>
    </row>
    <row r="13" customFormat="false" ht="15" hidden="false" customHeight="true" outlineLevel="0" collapsed="false">
      <c r="B13" s="15"/>
      <c r="C13" s="15"/>
      <c r="D13" s="15"/>
    </row>
    <row r="14" customFormat="false" ht="18" hidden="false" customHeight="true" outlineLevel="0" collapsed="false">
      <c r="A14" s="9" t="s">
        <v>162</v>
      </c>
      <c r="B14" s="16"/>
      <c r="C14" s="16"/>
      <c r="D14" s="16"/>
      <c r="E14" s="9"/>
    </row>
    <row r="15" customFormat="false" ht="15" hidden="false" customHeight="true" outlineLevel="0" collapsed="false">
      <c r="A15" s="6" t="s">
        <v>163</v>
      </c>
      <c r="B15" s="10" t="n">
        <v>82</v>
      </c>
      <c r="C15" s="10" t="n">
        <v>81</v>
      </c>
      <c r="D15" s="10" t="n">
        <v>69</v>
      </c>
      <c r="E15" s="7" t="s">
        <v>164</v>
      </c>
    </row>
    <row r="16" customFormat="false" ht="15" hidden="false" customHeight="true" outlineLevel="0" collapsed="false">
      <c r="A16" s="6" t="s">
        <v>165</v>
      </c>
      <c r="B16" s="10" t="n">
        <v>78</v>
      </c>
      <c r="C16" s="10" t="n">
        <v>76</v>
      </c>
      <c r="D16" s="10" t="n">
        <v>65</v>
      </c>
      <c r="E16" s="7" t="s">
        <v>164</v>
      </c>
    </row>
    <row r="17" customFormat="false" ht="30" hidden="false" customHeight="true" outlineLevel="0" collapsed="false">
      <c r="A17" s="6" t="s">
        <v>166</v>
      </c>
      <c r="B17" s="10" t="n">
        <v>3099</v>
      </c>
      <c r="C17" s="10" t="n">
        <v>3294</v>
      </c>
      <c r="D17" s="10" t="n">
        <v>3700</v>
      </c>
      <c r="E17" s="7" t="s">
        <v>167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6" min="2" style="1" width="13"/>
    <col collapsed="false" customWidth="true" hidden="false" outlineLevel="0" max="7" min="7" style="1" width="48"/>
  </cols>
  <sheetData>
    <row r="1" customFormat="false" ht="18" hidden="false" customHeight="true" outlineLevel="0" collapsed="false">
      <c r="A1" s="8" t="s">
        <v>168</v>
      </c>
      <c r="B1" s="8" t="s">
        <v>169</v>
      </c>
      <c r="C1" s="8" t="s">
        <v>170</v>
      </c>
      <c r="D1" s="8" t="s">
        <v>171</v>
      </c>
      <c r="E1" s="8" t="s">
        <v>172</v>
      </c>
      <c r="F1" s="8" t="s">
        <v>173</v>
      </c>
      <c r="G1" s="5" t="s">
        <v>25</v>
      </c>
    </row>
    <row r="2" customFormat="false" ht="15" hidden="false" customHeight="true" outlineLevel="0" collapsed="false">
      <c r="A2" s="6" t="s">
        <v>174</v>
      </c>
      <c r="B2" s="17" t="n">
        <v>0.03</v>
      </c>
      <c r="C2" s="17" t="n">
        <v>0.02</v>
      </c>
      <c r="D2" s="17" t="n">
        <v>0.02</v>
      </c>
      <c r="E2" s="17" t="n">
        <v>0.015</v>
      </c>
      <c r="F2" s="17" t="n">
        <v>0.015</v>
      </c>
      <c r="G2" s="7" t="s">
        <v>175</v>
      </c>
    </row>
    <row r="3" customFormat="false" ht="15" hidden="false" customHeight="true" outlineLevel="0" collapsed="false">
      <c r="A3" s="6" t="s">
        <v>176</v>
      </c>
      <c r="B3" s="17" t="n">
        <v>0.018</v>
      </c>
      <c r="C3" s="17" t="n">
        <v>0.018</v>
      </c>
      <c r="D3" s="17" t="n">
        <v>0.018</v>
      </c>
      <c r="E3" s="17" t="n">
        <v>0.018</v>
      </c>
      <c r="F3" s="17" t="n">
        <v>0.018</v>
      </c>
      <c r="G3" s="7" t="s">
        <v>177</v>
      </c>
    </row>
    <row r="4" customFormat="false" ht="15" hidden="false" customHeight="true" outlineLevel="0" collapsed="false">
      <c r="A4" s="6" t="s">
        <v>178</v>
      </c>
      <c r="B4" s="17" t="n">
        <v>0.005</v>
      </c>
      <c r="C4" s="17" t="n">
        <v>0.005</v>
      </c>
      <c r="D4" s="17" t="n">
        <v>0.005</v>
      </c>
      <c r="E4" s="17" t="n">
        <v>0.005</v>
      </c>
      <c r="F4" s="17" t="n">
        <v>0.005</v>
      </c>
      <c r="G4" s="7" t="s">
        <v>179</v>
      </c>
    </row>
    <row r="5" customFormat="false" ht="15" hidden="false" customHeight="true" outlineLevel="0" collapsed="false">
      <c r="A5" s="6" t="s">
        <v>180</v>
      </c>
      <c r="B5" s="17" t="n">
        <v>0.585</v>
      </c>
      <c r="C5" s="17" t="n">
        <v>0.585</v>
      </c>
      <c r="D5" s="17" t="n">
        <v>0.585</v>
      </c>
      <c r="E5" s="17" t="n">
        <v>0.585</v>
      </c>
      <c r="F5" s="17" t="n">
        <v>0.585</v>
      </c>
      <c r="G5" s="7" t="s">
        <v>179</v>
      </c>
    </row>
    <row r="6" customFormat="false" ht="15" hidden="false" customHeight="true" outlineLevel="0" collapsed="false">
      <c r="A6" s="6" t="s">
        <v>181</v>
      </c>
      <c r="B6" s="17" t="n">
        <v>0.152</v>
      </c>
      <c r="C6" s="17" t="n">
        <v>0.152</v>
      </c>
      <c r="D6" s="17" t="n">
        <v>0.15</v>
      </c>
      <c r="E6" s="17" t="n">
        <v>0.149</v>
      </c>
      <c r="F6" s="17" t="n">
        <v>0.148</v>
      </c>
      <c r="G6" s="7" t="s">
        <v>179</v>
      </c>
    </row>
    <row r="7" customFormat="false" ht="15" hidden="false" customHeight="true" outlineLevel="0" collapsed="false">
      <c r="A7" s="6" t="s">
        <v>182</v>
      </c>
      <c r="B7" s="17" t="n">
        <v>0.028</v>
      </c>
      <c r="C7" s="17" t="n">
        <v>0.028</v>
      </c>
      <c r="D7" s="17" t="n">
        <v>0.027</v>
      </c>
      <c r="E7" s="17" t="n">
        <v>0.027</v>
      </c>
      <c r="F7" s="17" t="n">
        <v>0.027</v>
      </c>
      <c r="G7" s="7" t="s">
        <v>179</v>
      </c>
    </row>
    <row r="8" customFormat="false" ht="15" hidden="false" customHeight="true" outlineLevel="0" collapsed="false">
      <c r="A8" s="6" t="s">
        <v>183</v>
      </c>
      <c r="B8" s="17" t="n">
        <v>0.006</v>
      </c>
      <c r="C8" s="17" t="n">
        <v>0.006</v>
      </c>
      <c r="D8" s="17" t="n">
        <v>0.006</v>
      </c>
      <c r="E8" s="17" t="n">
        <v>0.006</v>
      </c>
      <c r="F8" s="17" t="n">
        <v>0.006</v>
      </c>
      <c r="G8" s="7" t="s">
        <v>179</v>
      </c>
    </row>
    <row r="9" customFormat="false" ht="15" hidden="false" customHeight="true" outlineLevel="0" collapsed="false">
      <c r="A9" s="6" t="s">
        <v>184</v>
      </c>
      <c r="B9" s="17" t="n">
        <v>0.105</v>
      </c>
      <c r="C9" s="17" t="n">
        <v>0.105</v>
      </c>
      <c r="D9" s="17" t="n">
        <v>0.104</v>
      </c>
      <c r="E9" s="17" t="n">
        <v>0.103</v>
      </c>
      <c r="F9" s="17" t="n">
        <v>0.102</v>
      </c>
      <c r="G9" s="7" t="s">
        <v>179</v>
      </c>
    </row>
    <row r="10" customFormat="false" ht="15" hidden="false" customHeight="true" outlineLevel="0" collapsed="false">
      <c r="A10" s="6" t="s">
        <v>185</v>
      </c>
      <c r="B10" s="17" t="n">
        <v>0.028</v>
      </c>
      <c r="C10" s="17" t="n">
        <v>0.028</v>
      </c>
      <c r="D10" s="17" t="n">
        <v>0.028</v>
      </c>
      <c r="E10" s="17" t="n">
        <v>0.028</v>
      </c>
      <c r="F10" s="17" t="n">
        <v>0.028</v>
      </c>
      <c r="G10" s="7" t="s">
        <v>179</v>
      </c>
    </row>
    <row r="11" customFormat="false" ht="15" hidden="false" customHeight="true" outlineLevel="0" collapsed="false">
      <c r="A11" s="6" t="s">
        <v>186</v>
      </c>
      <c r="B11" s="17" t="n">
        <v>0.035</v>
      </c>
      <c r="C11" s="17" t="n">
        <v>0.035</v>
      </c>
      <c r="D11" s="17" t="n">
        <v>0.035</v>
      </c>
      <c r="E11" s="17" t="n">
        <v>0.035</v>
      </c>
      <c r="F11" s="17" t="n">
        <v>0.035</v>
      </c>
      <c r="G11" s="7" t="s">
        <v>179</v>
      </c>
    </row>
    <row r="12" customFormat="false" ht="30" hidden="false" customHeight="true" outlineLevel="0" collapsed="false">
      <c r="A12" s="6" t="s">
        <v>187</v>
      </c>
      <c r="B12" s="17" t="n">
        <v>0.37</v>
      </c>
      <c r="C12" s="17" t="n">
        <v>0.36</v>
      </c>
      <c r="D12" s="17" t="n">
        <v>0.36</v>
      </c>
      <c r="E12" s="17" t="n">
        <v>0.35</v>
      </c>
      <c r="F12" s="17" t="n">
        <v>0.35</v>
      </c>
      <c r="G12" s="7" t="s">
        <v>188</v>
      </c>
    </row>
    <row r="13" customFormat="false" ht="30" hidden="false" customHeight="true" outlineLevel="0" collapsed="false">
      <c r="A13" s="6" t="s">
        <v>189</v>
      </c>
      <c r="B13" s="17" t="n">
        <v>0.095</v>
      </c>
      <c r="C13" s="17" t="n">
        <v>0.095</v>
      </c>
      <c r="D13" s="17" t="n">
        <v>0.092</v>
      </c>
      <c r="E13" s="17" t="n">
        <v>0.09</v>
      </c>
      <c r="F13" s="17" t="n">
        <v>0.09</v>
      </c>
      <c r="G13" s="7" t="s">
        <v>190</v>
      </c>
    </row>
    <row r="14" customFormat="false" ht="15" hidden="false" customHeight="true" outlineLevel="0" collapsed="false">
      <c r="A14" s="6" t="s">
        <v>191</v>
      </c>
      <c r="B14" s="17" t="n">
        <v>0.028</v>
      </c>
      <c r="C14" s="17" t="n">
        <v>0.028</v>
      </c>
      <c r="D14" s="17" t="n">
        <v>0.028</v>
      </c>
      <c r="E14" s="17" t="n">
        <v>0.028</v>
      </c>
      <c r="F14" s="17" t="n">
        <v>0.028</v>
      </c>
      <c r="G14" s="7" t="s">
        <v>179</v>
      </c>
    </row>
    <row r="15" customFormat="false" ht="15" hidden="false" customHeight="true" outlineLevel="0" collapsed="false">
      <c r="A15" s="6" t="s">
        <v>192</v>
      </c>
      <c r="B15" s="17" t="n">
        <v>0.085</v>
      </c>
      <c r="C15" s="17" t="n">
        <v>0.085</v>
      </c>
      <c r="D15" s="17" t="n">
        <v>0.085</v>
      </c>
      <c r="E15" s="17" t="n">
        <v>0.085</v>
      </c>
      <c r="F15" s="17" t="n">
        <v>0.085</v>
      </c>
      <c r="G15" s="7" t="s">
        <v>193</v>
      </c>
    </row>
    <row r="16" customFormat="false" ht="15" hidden="false" customHeight="true" outlineLevel="0" collapsed="false">
      <c r="A16" s="6" t="s">
        <v>194</v>
      </c>
      <c r="B16" s="17" t="n">
        <v>0.02</v>
      </c>
      <c r="C16" s="17" t="n">
        <v>0.02</v>
      </c>
      <c r="D16" s="17" t="n">
        <v>0.02</v>
      </c>
      <c r="E16" s="17" t="n">
        <v>0.02</v>
      </c>
      <c r="F16" s="17" t="n">
        <v>0.02</v>
      </c>
      <c r="G16" s="7" t="s">
        <v>193</v>
      </c>
    </row>
    <row r="17" customFormat="false" ht="30" hidden="false" customHeight="true" outlineLevel="0" collapsed="false">
      <c r="A17" s="6" t="s">
        <v>195</v>
      </c>
      <c r="B17" s="10" t="n">
        <v>34461</v>
      </c>
      <c r="G17" s="7" t="s">
        <v>196</v>
      </c>
    </row>
    <row r="18" customFormat="false" ht="15" hidden="false" customHeight="true" outlineLevel="0" collapsed="false">
      <c r="A18" s="6" t="s">
        <v>197</v>
      </c>
      <c r="B18" s="10" t="n">
        <v>1856</v>
      </c>
      <c r="G18" s="7" t="s">
        <v>198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9" min="2" style="1" width="48"/>
  </cols>
  <sheetData>
    <row r="1" customFormat="false" ht="18" hidden="false" customHeight="true" outlineLevel="0" collapsed="false">
      <c r="A1" s="8" t="s">
        <v>57</v>
      </c>
      <c r="B1" s="8" t="s">
        <v>58</v>
      </c>
      <c r="C1" s="8" t="s">
        <v>59</v>
      </c>
      <c r="D1" s="8" t="s">
        <v>60</v>
      </c>
      <c r="E1" s="8" t="s">
        <v>169</v>
      </c>
      <c r="F1" s="8" t="s">
        <v>170</v>
      </c>
      <c r="G1" s="8" t="s">
        <v>171</v>
      </c>
      <c r="H1" s="8" t="s">
        <v>172</v>
      </c>
      <c r="I1" s="8" t="s">
        <v>173</v>
      </c>
    </row>
    <row r="2" customFormat="false" ht="18" hidden="false" customHeight="true" outlineLevel="0" collapsed="false">
      <c r="A2" s="9" t="s">
        <v>62</v>
      </c>
      <c r="B2" s="9"/>
      <c r="C2" s="9"/>
      <c r="D2" s="9"/>
      <c r="E2" s="9"/>
      <c r="F2" s="9"/>
      <c r="G2" s="9"/>
      <c r="H2" s="9"/>
      <c r="I2" s="9"/>
    </row>
    <row r="3" customFormat="false" ht="15" hidden="false" customHeight="true" outlineLevel="0" collapsed="false">
      <c r="A3" s="6" t="s">
        <v>63</v>
      </c>
      <c r="B3" s="18" t="n">
        <f aca="false">'Historical Actuals'!B3</f>
        <v>196913</v>
      </c>
      <c r="C3" s="18" t="n">
        <f aca="false">'Historical Actuals'!C3</f>
        <v>193414</v>
      </c>
      <c r="D3" s="18" t="n">
        <f aca="false">'Historical Actuals'!D3</f>
        <v>184432</v>
      </c>
      <c r="E3" s="19" t="n">
        <f aca="false">D3*(1+Assumptions!B2)</f>
        <v>189964.96</v>
      </c>
      <c r="F3" s="19" t="n">
        <f aca="false">E3*(1+Assumptions!C2)</f>
        <v>193764.2592</v>
      </c>
      <c r="G3" s="19" t="n">
        <f aca="false">F3*(1+Assumptions!D2)</f>
        <v>197639.544384</v>
      </c>
      <c r="H3" s="19" t="n">
        <f aca="false">G3*(1+Assumptions!E2)</f>
        <v>200604.13754976</v>
      </c>
      <c r="I3" s="19" t="n">
        <f aca="false">H3*(1+Assumptions!F2)</f>
        <v>203613.199613006</v>
      </c>
    </row>
    <row r="4" customFormat="false" ht="15" hidden="false" customHeight="true" outlineLevel="0" collapsed="false">
      <c r="A4" s="6" t="s">
        <v>174</v>
      </c>
      <c r="B4" s="20"/>
      <c r="C4" s="21" t="n">
        <f aca="false">C3/B3-1</f>
        <v>-0.0177692686617948</v>
      </c>
      <c r="D4" s="21" t="n">
        <f aca="false">D3/C3-1</f>
        <v>-0.0464392443153029</v>
      </c>
      <c r="E4" s="22" t="n">
        <f aca="false">E3/D3-1</f>
        <v>0.03</v>
      </c>
      <c r="F4" s="22" t="n">
        <f aca="false">F3/E3-1</f>
        <v>0.02</v>
      </c>
      <c r="G4" s="22" t="n">
        <f aca="false">G3/F3-1</f>
        <v>0.02</v>
      </c>
      <c r="H4" s="22" t="n">
        <f aca="false">H3/G3-1</f>
        <v>0.0149999999999999</v>
      </c>
      <c r="I4" s="22" t="n">
        <f aca="false">I3/H3-1</f>
        <v>0.0149999999999999</v>
      </c>
    </row>
    <row r="5" customFormat="false" ht="15" hidden="false" customHeight="true" outlineLevel="0" collapsed="false">
      <c r="A5" s="6" t="s">
        <v>65</v>
      </c>
      <c r="B5" s="18" t="n">
        <f aca="false">'Historical Actuals'!B4</f>
        <v>5131</v>
      </c>
      <c r="C5" s="18" t="n">
        <f aca="false">'Historical Actuals'!C4</f>
        <v>4596</v>
      </c>
      <c r="D5" s="18" t="n">
        <f aca="false">'Historical Actuals'!D4</f>
        <v>3000</v>
      </c>
      <c r="E5" s="19" t="n">
        <f aca="false">E3*Assumptions!B3</f>
        <v>3419.36928</v>
      </c>
      <c r="F5" s="19" t="n">
        <f aca="false">F3*Assumptions!C3</f>
        <v>3487.7566656</v>
      </c>
      <c r="G5" s="19" t="n">
        <f aca="false">G3*Assumptions!D3</f>
        <v>3557.511798912</v>
      </c>
      <c r="H5" s="19" t="n">
        <f aca="false">H3*Assumptions!E3</f>
        <v>3610.87447589568</v>
      </c>
      <c r="I5" s="19" t="n">
        <f aca="false">I3*Assumptions!F3</f>
        <v>3665.03759303411</v>
      </c>
    </row>
    <row r="6" customFormat="false" ht="15" hidden="false" customHeight="true" outlineLevel="0" collapsed="false">
      <c r="A6" s="6" t="s">
        <v>67</v>
      </c>
      <c r="B6" s="18" t="n">
        <f aca="false">'Historical Actuals'!B5</f>
        <v>-1095</v>
      </c>
      <c r="C6" s="18" t="n">
        <f aca="false">'Historical Actuals'!C5</f>
        <v>4782</v>
      </c>
      <c r="D6" s="18" t="n">
        <f aca="false">'Historical Actuals'!D5</f>
        <v>1599</v>
      </c>
      <c r="E6" s="19" t="n">
        <f aca="false">E3*Assumptions!B4</f>
        <v>949.8248</v>
      </c>
      <c r="F6" s="19" t="n">
        <f aca="false">F3*Assumptions!C4</f>
        <v>968.821296</v>
      </c>
      <c r="G6" s="19" t="n">
        <f aca="false">G3*Assumptions!D4</f>
        <v>988.19772192</v>
      </c>
      <c r="H6" s="19" t="n">
        <f aca="false">H3*Assumptions!E4</f>
        <v>1003.0206877488</v>
      </c>
      <c r="I6" s="19" t="n">
        <f aca="false">I3*Assumptions!F4</f>
        <v>1018.06599806503</v>
      </c>
    </row>
    <row r="7" customFormat="false" ht="15" hidden="false" customHeight="true" outlineLevel="0" collapsed="false">
      <c r="A7" s="6" t="s">
        <v>68</v>
      </c>
      <c r="B7" s="18" t="n">
        <f aca="false">'Historical Actuals'!B6</f>
        <v>200949</v>
      </c>
      <c r="C7" s="18" t="n">
        <f aca="false">'Historical Actuals'!C6</f>
        <v>202792</v>
      </c>
      <c r="D7" s="18" t="n">
        <f aca="false">'Historical Actuals'!D6</f>
        <v>189031</v>
      </c>
      <c r="E7" s="19" t="n">
        <f aca="false">SUM(E3:E6)</f>
        <v>194334.18408</v>
      </c>
      <c r="F7" s="19" t="n">
        <f aca="false">SUM(F3:F6)</f>
        <v>198220.8571616</v>
      </c>
      <c r="G7" s="19" t="n">
        <f aca="false">SUM(G3:G6)</f>
        <v>202185.273904832</v>
      </c>
      <c r="H7" s="19" t="n">
        <f aca="false">SUM(H3:H6)</f>
        <v>205218.047713404</v>
      </c>
      <c r="I7" s="19" t="n">
        <f aca="false">SUM(I3:I6)</f>
        <v>208296.318204106</v>
      </c>
    </row>
    <row r="8" customFormat="false" ht="15" hidden="false" customHeight="true" outlineLevel="0" collapsed="false">
      <c r="A8" s="6" t="s">
        <v>70</v>
      </c>
      <c r="B8" s="18" t="n">
        <f aca="false">'Historical Actuals'!B7</f>
        <v>-119196</v>
      </c>
      <c r="C8" s="18" t="n">
        <f aca="false">'Historical Actuals'!C7</f>
        <v>-119206</v>
      </c>
      <c r="D8" s="18" t="n">
        <f aca="false">'Historical Actuals'!D7</f>
        <v>-108214</v>
      </c>
      <c r="E8" s="19" t="n">
        <f aca="false">-E3*Assumptions!B5</f>
        <v>-111129.5016</v>
      </c>
      <c r="F8" s="19" t="n">
        <f aca="false">-F3*Assumptions!C5</f>
        <v>-113352.091632</v>
      </c>
      <c r="G8" s="19" t="n">
        <f aca="false">-G3*Assumptions!D5</f>
        <v>-115619.13346464</v>
      </c>
      <c r="H8" s="19" t="n">
        <f aca="false">-H3*Assumptions!E5</f>
        <v>-117353.42046661</v>
      </c>
      <c r="I8" s="19" t="n">
        <f aca="false">-I3*Assumptions!F5</f>
        <v>-119113.721773609</v>
      </c>
    </row>
    <row r="9" customFormat="false" ht="15" hidden="false" customHeight="true" outlineLevel="0" collapsed="false">
      <c r="A9" s="6" t="s">
        <v>71</v>
      </c>
      <c r="B9" s="18" t="n">
        <f aca="false">'Historical Actuals'!B8</f>
        <v>-24887</v>
      </c>
      <c r="C9" s="18" t="n">
        <f aca="false">'Historical Actuals'!C8</f>
        <v>-27464</v>
      </c>
      <c r="D9" s="18" t="n">
        <f aca="false">'Historical Actuals'!D8</f>
        <v>-28005</v>
      </c>
      <c r="E9" s="19" t="n">
        <f aca="false">-E3*Assumptions!B6</f>
        <v>-28874.67392</v>
      </c>
      <c r="F9" s="19" t="n">
        <f aca="false">-F3*Assumptions!C6</f>
        <v>-29452.1673984</v>
      </c>
      <c r="G9" s="19" t="n">
        <f aca="false">-G3*Assumptions!D6</f>
        <v>-29645.9316576</v>
      </c>
      <c r="H9" s="19" t="n">
        <f aca="false">-H3*Assumptions!E6</f>
        <v>-29890.0164949142</v>
      </c>
      <c r="I9" s="19" t="n">
        <f aca="false">-I3*Assumptions!F6</f>
        <v>-30134.7535427249</v>
      </c>
    </row>
    <row r="10" customFormat="false" ht="15" hidden="false" customHeight="true" outlineLevel="0" collapsed="false">
      <c r="A10" s="6" t="s">
        <v>72</v>
      </c>
      <c r="B10" s="18" t="n">
        <f aca="false">'Historical Actuals'!B9</f>
        <v>-4141</v>
      </c>
      <c r="C10" s="18" t="n">
        <f aca="false">'Historical Actuals'!C9</f>
        <v>-4834</v>
      </c>
      <c r="D10" s="18" t="n">
        <f aca="false">'Historical Actuals'!D9</f>
        <v>-5126</v>
      </c>
      <c r="E10" s="19" t="n">
        <f aca="false">-E3*Assumptions!B7</f>
        <v>-5319.01888</v>
      </c>
      <c r="F10" s="19" t="n">
        <f aca="false">-F3*Assumptions!C7</f>
        <v>-5425.3992576</v>
      </c>
      <c r="G10" s="19" t="n">
        <f aca="false">-G3*Assumptions!D7</f>
        <v>-5336.267698368</v>
      </c>
      <c r="H10" s="19" t="n">
        <f aca="false">-H3*Assumptions!E7</f>
        <v>-5416.31171384352</v>
      </c>
      <c r="I10" s="19" t="n">
        <f aca="false">-I3*Assumptions!F7</f>
        <v>-5497.55638955117</v>
      </c>
    </row>
    <row r="11" customFormat="false" ht="15" hidden="false" customHeight="true" outlineLevel="0" collapsed="false">
      <c r="A11" s="6" t="s">
        <v>73</v>
      </c>
      <c r="B11" s="18" t="n">
        <f aca="false">'Historical Actuals'!B10</f>
        <v>-914</v>
      </c>
      <c r="C11" s="18" t="n">
        <f aca="false">'Historical Actuals'!C10</f>
        <v>-995</v>
      </c>
      <c r="D11" s="18" t="n">
        <f aca="false">'Historical Actuals'!D10</f>
        <v>-1051</v>
      </c>
      <c r="E11" s="19" t="n">
        <f aca="false">-E3*Assumptions!B8</f>
        <v>-1139.78976</v>
      </c>
      <c r="F11" s="19" t="n">
        <f aca="false">-F3*Assumptions!C8</f>
        <v>-1162.5855552</v>
      </c>
      <c r="G11" s="19" t="n">
        <f aca="false">-G3*Assumptions!D8</f>
        <v>-1185.837266304</v>
      </c>
      <c r="H11" s="19" t="n">
        <f aca="false">-H3*Assumptions!E8</f>
        <v>-1203.62482529856</v>
      </c>
      <c r="I11" s="19" t="n">
        <f aca="false">-I3*Assumptions!F8</f>
        <v>-1221.67919767804</v>
      </c>
    </row>
    <row r="12" customFormat="false" ht="15" hidden="false" customHeight="true" outlineLevel="0" collapsed="false">
      <c r="A12" s="6" t="s">
        <v>199</v>
      </c>
      <c r="B12" s="18" t="n">
        <f aca="false">'Historical Actuals'!B11</f>
        <v>-17326</v>
      </c>
      <c r="C12" s="18" t="n">
        <f aca="false">'Historical Actuals'!C11</f>
        <v>-17282</v>
      </c>
      <c r="D12" s="18" t="n">
        <f aca="false">'Historical Actuals'!D11</f>
        <v>-20132</v>
      </c>
      <c r="E12" s="19" t="n">
        <f aca="false">-E3*Assumptions!B9</f>
        <v>-19946.3208</v>
      </c>
      <c r="F12" s="19" t="n">
        <f aca="false">-F3*Assumptions!C9</f>
        <v>-20345.247216</v>
      </c>
      <c r="G12" s="19" t="n">
        <f aca="false">-G3*Assumptions!D9</f>
        <v>-20554.512615936</v>
      </c>
      <c r="H12" s="19" t="n">
        <f aca="false">-H3*Assumptions!E9</f>
        <v>-20662.2261676253</v>
      </c>
      <c r="I12" s="19" t="n">
        <f aca="false">-I3*Assumptions!F9</f>
        <v>-20768.5463605267</v>
      </c>
    </row>
    <row r="13" customFormat="false" ht="15" hidden="false" customHeight="true" outlineLevel="0" collapsed="false">
      <c r="A13" s="6" t="s">
        <v>200</v>
      </c>
      <c r="B13" s="18" t="n">
        <f aca="false">'Historical Actuals'!B12</f>
        <v>-4220</v>
      </c>
      <c r="C13" s="18" t="n">
        <f aca="false">'Historical Actuals'!C12</f>
        <v>-4716</v>
      </c>
      <c r="D13" s="18" t="n">
        <f aca="false">'Historical Actuals'!D12</f>
        <v>-5230</v>
      </c>
      <c r="E13" s="19" t="n">
        <f aca="false">-E3*Assumptions!B10</f>
        <v>-5319.01888</v>
      </c>
      <c r="F13" s="19" t="n">
        <f aca="false">-F3*Assumptions!C10</f>
        <v>-5425.3992576</v>
      </c>
      <c r="G13" s="19" t="n">
        <f aca="false">-G3*Assumptions!D10</f>
        <v>-5533.907242752</v>
      </c>
      <c r="H13" s="19" t="n">
        <f aca="false">-H3*Assumptions!E10</f>
        <v>-5616.91585139328</v>
      </c>
      <c r="I13" s="19" t="n">
        <f aca="false">-I3*Assumptions!F10</f>
        <v>-5701.16958916418</v>
      </c>
    </row>
    <row r="14" customFormat="false" ht="15" hidden="false" customHeight="true" outlineLevel="0" collapsed="false">
      <c r="A14" s="6" t="s">
        <v>76</v>
      </c>
      <c r="B14" s="18" t="n">
        <f aca="false">'Historical Actuals'!B13</f>
        <v>-469</v>
      </c>
      <c r="C14" s="18" t="n">
        <f aca="false">'Historical Actuals'!C13</f>
        <v>-594</v>
      </c>
      <c r="D14" s="18" t="n">
        <f aca="false">'Historical Actuals'!D13</f>
        <v>-1217</v>
      </c>
      <c r="E14" s="19" t="n">
        <f aca="false">-AVERAGE(D32,E32)*Assumptions!B11</f>
        <v>-1426.53</v>
      </c>
      <c r="F14" s="19" t="n">
        <f aca="false">-AVERAGE(E32,F32)*Assumptions!C11</f>
        <v>-1426.53</v>
      </c>
      <c r="G14" s="19" t="n">
        <f aca="false">-AVERAGE(F32,G32)*Assumptions!D11</f>
        <v>-1426.53</v>
      </c>
      <c r="H14" s="19" t="n">
        <f aca="false">-AVERAGE(G32,H32)*Assumptions!E11</f>
        <v>-1426.53</v>
      </c>
      <c r="I14" s="19" t="n">
        <f aca="false">-AVERAGE(H32,I32)*Assumptions!F11</f>
        <v>-1426.53</v>
      </c>
    </row>
    <row r="15" customFormat="false" ht="15" hidden="false" customHeight="true" outlineLevel="0" collapsed="false">
      <c r="A15" s="6" t="s">
        <v>77</v>
      </c>
      <c r="B15" s="18" t="n">
        <f aca="false">'Historical Actuals'!B14</f>
        <v>-212</v>
      </c>
      <c r="C15" s="18" t="n">
        <f aca="false">'Historical Actuals'!C14</f>
        <v>-195</v>
      </c>
      <c r="D15" s="18" t="n">
        <f aca="false">'Historical Actuals'!D14</f>
        <v>-313</v>
      </c>
      <c r="E15" s="19" t="n">
        <f aca="false">-E3*0.0015</f>
        <v>-284.94744</v>
      </c>
      <c r="F15" s="19" t="n">
        <f aca="false">-F3*0.0015</f>
        <v>-290.6463888</v>
      </c>
      <c r="G15" s="19" t="n">
        <f aca="false">-G3*0.0015</f>
        <v>-296.459316576</v>
      </c>
      <c r="H15" s="19" t="n">
        <f aca="false">-H3*0.0015</f>
        <v>-300.90620632464</v>
      </c>
      <c r="I15" s="19" t="n">
        <f aca="false">-I3*0.0015</f>
        <v>-305.41979941951</v>
      </c>
    </row>
    <row r="16" customFormat="false" ht="15" hidden="false" customHeight="true" outlineLevel="0" collapsed="false">
      <c r="A16" s="6" t="s">
        <v>79</v>
      </c>
      <c r="B16" s="18" t="n">
        <f aca="false">'Historical Actuals'!B15</f>
        <v>-171365</v>
      </c>
      <c r="C16" s="18" t="n">
        <f aca="false">'Historical Actuals'!C15</f>
        <v>-175286</v>
      </c>
      <c r="D16" s="18" t="n">
        <f aca="false">'Historical Actuals'!D15</f>
        <v>-169288</v>
      </c>
      <c r="E16" s="19" t="n">
        <f aca="false">SUM(E8:E15)</f>
        <v>-173439.80128</v>
      </c>
      <c r="F16" s="19" t="n">
        <f aca="false">SUM(F8:F15)</f>
        <v>-176880.0667056</v>
      </c>
      <c r="G16" s="19" t="n">
        <f aca="false">SUM(G8:G15)</f>
        <v>-179598.579262176</v>
      </c>
      <c r="H16" s="19" t="n">
        <f aca="false">SUM(H8:H15)</f>
        <v>-181869.951726009</v>
      </c>
      <c r="I16" s="19" t="n">
        <f aca="false">SUM(I8:I15)</f>
        <v>-184169.376652673</v>
      </c>
    </row>
    <row r="17" customFormat="false" ht="15" hidden="false" customHeight="true" outlineLevel="0" collapsed="false">
      <c r="A17" s="6" t="s">
        <v>81</v>
      </c>
      <c r="B17" s="18" t="n">
        <f aca="false">'Historical Actuals'!B16</f>
        <v>29584</v>
      </c>
      <c r="C17" s="18" t="n">
        <f aca="false">'Historical Actuals'!C16</f>
        <v>27506</v>
      </c>
      <c r="D17" s="18" t="n">
        <f aca="false">'Historical Actuals'!D16</f>
        <v>19743</v>
      </c>
      <c r="E17" s="19" t="n">
        <f aca="false">E7+E16</f>
        <v>20894.3828</v>
      </c>
      <c r="F17" s="19" t="n">
        <f aca="false">F7+F16</f>
        <v>21340.790456</v>
      </c>
      <c r="G17" s="19" t="n">
        <f aca="false">G7+G16</f>
        <v>22586.694642656</v>
      </c>
      <c r="H17" s="19" t="n">
        <f aca="false">H7+H16</f>
        <v>23348.0959873954</v>
      </c>
      <c r="I17" s="19" t="n">
        <f aca="false">I7+I16</f>
        <v>24126.9415514323</v>
      </c>
    </row>
    <row r="18" customFormat="false" ht="15" hidden="false" customHeight="true" outlineLevel="0" collapsed="false">
      <c r="A18" s="6" t="s">
        <v>82</v>
      </c>
      <c r="B18" s="18" t="n">
        <f aca="false">'Historical Actuals'!B17</f>
        <v>-8173</v>
      </c>
      <c r="C18" s="18" t="n">
        <f aca="false">'Historical Actuals'!C17</f>
        <v>-9757</v>
      </c>
      <c r="D18" s="18" t="n">
        <f aca="false">'Historical Actuals'!D17</f>
        <v>-7258</v>
      </c>
      <c r="E18" s="19" t="n">
        <f aca="false">-E17*Assumptions!B12</f>
        <v>-7730.92163600001</v>
      </c>
      <c r="F18" s="19" t="n">
        <f aca="false">-F17*Assumptions!C12</f>
        <v>-7682.68456416</v>
      </c>
      <c r="G18" s="19" t="n">
        <f aca="false">-G17*Assumptions!D12</f>
        <v>-8131.21007135618</v>
      </c>
      <c r="H18" s="19" t="n">
        <f aca="false">-H17*Assumptions!E12</f>
        <v>-8171.83359558837</v>
      </c>
      <c r="I18" s="19" t="n">
        <f aca="false">-I17*Assumptions!F12</f>
        <v>-8444.42954300131</v>
      </c>
    </row>
    <row r="19" customFormat="false" ht="15" hidden="false" customHeight="true" outlineLevel="0" collapsed="false">
      <c r="A19" s="6" t="s">
        <v>87</v>
      </c>
      <c r="B19" s="18" t="n">
        <f aca="false">'Historical Actuals'!B20</f>
        <v>21369</v>
      </c>
      <c r="C19" s="18" t="n">
        <f aca="false">'Historical Actuals'!C20</f>
        <v>17661</v>
      </c>
      <c r="D19" s="18" t="n">
        <f aca="false">'Historical Actuals'!D20</f>
        <v>12299</v>
      </c>
      <c r="E19" s="19" t="n">
        <f aca="false">E17+E18</f>
        <v>13163.461164</v>
      </c>
      <c r="F19" s="19" t="n">
        <f aca="false">F17+F18</f>
        <v>13658.10589184</v>
      </c>
      <c r="G19" s="19" t="n">
        <f aca="false">G17+G18</f>
        <v>14455.4845712999</v>
      </c>
      <c r="H19" s="19" t="n">
        <f aca="false">H17+H18</f>
        <v>15176.262391807</v>
      </c>
      <c r="I19" s="19" t="n">
        <f aca="false">I17+I18</f>
        <v>15682.512008431</v>
      </c>
    </row>
    <row r="20" customFormat="false" ht="15" hidden="false" customHeight="true" outlineLevel="0" collapsed="false">
      <c r="B20" s="23"/>
      <c r="C20" s="23"/>
      <c r="D20" s="23"/>
      <c r="E20" s="24"/>
      <c r="F20" s="24"/>
      <c r="G20" s="24"/>
      <c r="H20" s="24"/>
      <c r="I20" s="24"/>
    </row>
    <row r="21" customFormat="false" ht="18" hidden="false" customHeight="true" outlineLevel="0" collapsed="false">
      <c r="A21" s="9" t="s">
        <v>201</v>
      </c>
      <c r="B21" s="25"/>
      <c r="C21" s="25"/>
      <c r="D21" s="25"/>
      <c r="E21" s="26"/>
      <c r="F21" s="26"/>
      <c r="G21" s="26"/>
      <c r="H21" s="26"/>
      <c r="I21" s="26"/>
    </row>
    <row r="22" customFormat="false" ht="15" hidden="false" customHeight="true" outlineLevel="0" collapsed="false">
      <c r="A22" s="6" t="s">
        <v>87</v>
      </c>
      <c r="B22" s="18" t="n">
        <f aca="false">'Historical Actuals'!B20</f>
        <v>21369</v>
      </c>
      <c r="C22" s="18" t="n">
        <f aca="false">'Historical Actuals'!C20</f>
        <v>17661</v>
      </c>
      <c r="D22" s="18" t="n">
        <f aca="false">'Historical Actuals'!D20</f>
        <v>12299</v>
      </c>
      <c r="E22" s="19" t="n">
        <f aca="false">E19</f>
        <v>13163.461164</v>
      </c>
      <c r="F22" s="19" t="n">
        <f aca="false">F19</f>
        <v>13658.10589184</v>
      </c>
      <c r="G22" s="19" t="n">
        <f aca="false">G19</f>
        <v>14455.4845712999</v>
      </c>
      <c r="H22" s="19" t="n">
        <f aca="false">H19</f>
        <v>15176.262391807</v>
      </c>
      <c r="I22" s="19" t="n">
        <f aca="false">I19</f>
        <v>15682.512008431</v>
      </c>
    </row>
    <row r="23" customFormat="false" ht="15" hidden="false" customHeight="true" outlineLevel="0" collapsed="false">
      <c r="A23" s="6" t="s">
        <v>199</v>
      </c>
      <c r="B23" s="18" t="n">
        <f aca="false">'Historical Actuals'!B11</f>
        <v>-17326</v>
      </c>
      <c r="C23" s="18" t="n">
        <f aca="false">'Historical Actuals'!C11</f>
        <v>-17282</v>
      </c>
      <c r="D23" s="18" t="n">
        <f aca="false">'Historical Actuals'!D11</f>
        <v>-20132</v>
      </c>
      <c r="E23" s="19" t="n">
        <f aca="false">-E12</f>
        <v>19946.3208</v>
      </c>
      <c r="F23" s="19" t="n">
        <f aca="false">-F12</f>
        <v>20345.247216</v>
      </c>
      <c r="G23" s="19" t="n">
        <f aca="false">-G12</f>
        <v>20554.512615936</v>
      </c>
      <c r="H23" s="19" t="n">
        <f aca="false">-H12</f>
        <v>20662.2261676253</v>
      </c>
      <c r="I23" s="19" t="n">
        <f aca="false">-I12</f>
        <v>20768.5463605267</v>
      </c>
    </row>
    <row r="24" customFormat="false" ht="15" hidden="false" customHeight="true" outlineLevel="0" collapsed="false">
      <c r="A24" s="6" t="s">
        <v>202</v>
      </c>
      <c r="B24" s="18" t="n">
        <f aca="false">'Historical Actuals'!B54</f>
        <v>-15829</v>
      </c>
      <c r="C24" s="18" t="n">
        <f aca="false">'Historical Actuals'!C54</f>
        <v>-16448</v>
      </c>
      <c r="D24" s="18" t="n">
        <f aca="false">'Historical Actuals'!D54</f>
        <v>-17347</v>
      </c>
      <c r="E24" s="19" t="n">
        <f aca="false">-E3*Assumptions!B13</f>
        <v>-18046.6712</v>
      </c>
      <c r="F24" s="19" t="n">
        <f aca="false">-F3*Assumptions!C13</f>
        <v>-18407.604624</v>
      </c>
      <c r="G24" s="19" t="n">
        <f aca="false">-G3*Assumptions!D13</f>
        <v>-18182.838083328</v>
      </c>
      <c r="H24" s="19" t="n">
        <f aca="false">-H3*Assumptions!E13</f>
        <v>-18054.3723794784</v>
      </c>
      <c r="I24" s="19" t="n">
        <f aca="false">-I3*Assumptions!F13</f>
        <v>-18325.1879651706</v>
      </c>
    </row>
    <row r="25" customFormat="false" ht="15" hidden="false" customHeight="true" outlineLevel="0" collapsed="false">
      <c r="A25" s="6" t="s">
        <v>203</v>
      </c>
      <c r="B25" s="18" t="n">
        <f aca="false">'Historical Actuals'!B55-B22-B23-B24</f>
        <v>31566</v>
      </c>
      <c r="C25" s="18" t="n">
        <f aca="false">'Historical Actuals'!C55-C22-C23-C24</f>
        <v>31113</v>
      </c>
      <c r="D25" s="18" t="n">
        <f aca="false">'Historical Actuals'!D55-D22-D23-D24</f>
        <v>41772</v>
      </c>
      <c r="E25" s="19" t="n">
        <f aca="false">-((E3*Assumptions!B14)-(D3*Assumptions!B14))</f>
        <v>-154.922879999999</v>
      </c>
      <c r="F25" s="19" t="n">
        <f aca="false">-((F3*Assumptions!C14)-(E3*Assumptions!C14))</f>
        <v>-106.3803776</v>
      </c>
      <c r="G25" s="19" t="n">
        <f aca="false">-((G3*Assumptions!D14)-(F3*Assumptions!D14))</f>
        <v>-108.507985152</v>
      </c>
      <c r="H25" s="19" t="n">
        <f aca="false">-((H3*Assumptions!E14)-(G3*Assumptions!E14))</f>
        <v>-83.0086086412794</v>
      </c>
      <c r="I25" s="19" t="n">
        <f aca="false">-((I3*Assumptions!F14)-(H3*Assumptions!F14))</f>
        <v>-84.2537377708986</v>
      </c>
    </row>
    <row r="26" customFormat="false" ht="15" hidden="false" customHeight="true" outlineLevel="0" collapsed="false">
      <c r="A26" s="6" t="s">
        <v>204</v>
      </c>
      <c r="B26" s="18" t="n">
        <f aca="false">'Historical Actuals'!B55</f>
        <v>19780</v>
      </c>
      <c r="C26" s="18" t="n">
        <f aca="false">'Historical Actuals'!C55</f>
        <v>15044</v>
      </c>
      <c r="D26" s="18" t="n">
        <f aca="false">'Historical Actuals'!D55</f>
        <v>16592</v>
      </c>
      <c r="E26" s="19" t="n">
        <f aca="false">E22+E23+E24+E25</f>
        <v>14908.187884</v>
      </c>
      <c r="F26" s="19" t="n">
        <f aca="false">F22+F23+F24+F25</f>
        <v>15489.36810624</v>
      </c>
      <c r="G26" s="19" t="n">
        <f aca="false">G22+G23+G24+G25</f>
        <v>16718.6511187559</v>
      </c>
      <c r="H26" s="19" t="n">
        <f aca="false">H22+H23+H24+H25</f>
        <v>17701.1075713126</v>
      </c>
      <c r="I26" s="19" t="n">
        <f aca="false">I22+I23+I24+I25</f>
        <v>18041.6166660162</v>
      </c>
    </row>
    <row r="27" customFormat="false" ht="15" hidden="false" customHeight="true" outlineLevel="0" collapsed="false">
      <c r="B27" s="23"/>
      <c r="C27" s="23"/>
      <c r="D27" s="23"/>
      <c r="E27" s="24"/>
      <c r="F27" s="24"/>
      <c r="G27" s="24"/>
      <c r="H27" s="24"/>
      <c r="I27" s="24"/>
    </row>
    <row r="28" customFormat="false" ht="18" hidden="false" customHeight="true" outlineLevel="0" collapsed="false">
      <c r="A28" s="9" t="s">
        <v>205</v>
      </c>
      <c r="B28" s="25"/>
      <c r="C28" s="25"/>
      <c r="D28" s="25"/>
      <c r="E28" s="26"/>
      <c r="F28" s="26"/>
      <c r="G28" s="26"/>
      <c r="H28" s="26"/>
      <c r="I28" s="26"/>
    </row>
    <row r="29" customFormat="false" ht="15" hidden="false" customHeight="true" outlineLevel="0" collapsed="false">
      <c r="A29" s="6" t="s">
        <v>103</v>
      </c>
      <c r="B29" s="18" t="n">
        <f aca="false">'Historical Actuals'!B30</f>
        <v>41128</v>
      </c>
      <c r="C29" s="18" t="n">
        <f aca="false">'Historical Actuals'!C30</f>
        <v>40911</v>
      </c>
      <c r="D29" s="18" t="n">
        <f aca="false">'Historical Actuals'!D30</f>
        <v>38552</v>
      </c>
      <c r="E29" s="19" t="n">
        <f aca="false">E3*Assumptions!B14+D29*0.9</f>
        <v>40015.81888</v>
      </c>
      <c r="F29" s="19" t="n">
        <f aca="false">F3*Assumptions!C14+E29*0.9</f>
        <v>41439.6362496</v>
      </c>
      <c r="G29" s="19" t="n">
        <f aca="false">G3*Assumptions!D14+F29*0.9</f>
        <v>42829.579867392</v>
      </c>
      <c r="H29" s="19" t="n">
        <f aca="false">H3*Assumptions!E14+G29*0.9</f>
        <v>44163.5377320461</v>
      </c>
      <c r="I29" s="19" t="n">
        <f aca="false">I3*Assumptions!F14+H29*0.9</f>
        <v>45448.3535480057</v>
      </c>
    </row>
    <row r="30" customFormat="false" ht="15" hidden="false" customHeight="true" outlineLevel="0" collapsed="false">
      <c r="A30" s="6" t="s">
        <v>113</v>
      </c>
      <c r="B30" s="18" t="n">
        <f aca="false">'Historical Actuals'!B35</f>
        <v>261632</v>
      </c>
      <c r="C30" s="18" t="n">
        <f aca="false">'Historical Actuals'!C35</f>
        <v>256938</v>
      </c>
      <c r="D30" s="18" t="n">
        <f aca="false">'Historical Actuals'!D35</f>
        <v>324012</v>
      </c>
      <c r="E30" s="19" t="n">
        <f aca="false">D30+E24+E23</f>
        <v>325911.6496</v>
      </c>
      <c r="F30" s="19" t="n">
        <f aca="false">E30+F24+F23</f>
        <v>327849.292192</v>
      </c>
      <c r="G30" s="19" t="n">
        <f aca="false">F30+G24+G23</f>
        <v>330220.966724608</v>
      </c>
      <c r="H30" s="19" t="n">
        <f aca="false">G30+H24+H23</f>
        <v>332828.820512755</v>
      </c>
      <c r="I30" s="19" t="n">
        <f aca="false">H30+I24+I23</f>
        <v>335272.178908111</v>
      </c>
    </row>
    <row r="31" customFormat="false" ht="15" hidden="false" customHeight="true" outlineLevel="0" collapsed="false">
      <c r="A31" s="6" t="s">
        <v>122</v>
      </c>
      <c r="B31" s="18" t="n">
        <f aca="false">'Historical Actuals'!B41</f>
        <v>32258</v>
      </c>
      <c r="C31" s="18" t="n">
        <f aca="false">'Historical Actuals'!C41</f>
        <v>38558</v>
      </c>
      <c r="D31" s="18" t="n">
        <f aca="false">'Historical Actuals'!D41</f>
        <v>33387</v>
      </c>
      <c r="E31" s="19" t="n">
        <f aca="false">E3*0.18</f>
        <v>34193.6928</v>
      </c>
      <c r="F31" s="19" t="n">
        <f aca="false">F3*0.18</f>
        <v>34877.566656</v>
      </c>
      <c r="G31" s="19" t="n">
        <f aca="false">G3*0.18</f>
        <v>35575.11798912</v>
      </c>
      <c r="H31" s="19" t="n">
        <f aca="false">H3*0.18</f>
        <v>36108.7447589568</v>
      </c>
      <c r="I31" s="19" t="n">
        <f aca="false">I3*0.18</f>
        <v>36650.3759303412</v>
      </c>
    </row>
    <row r="32" customFormat="false" ht="30" hidden="false" customHeight="true" outlineLevel="0" collapsed="false">
      <c r="A32" s="6" t="s">
        <v>206</v>
      </c>
      <c r="B32" s="18" t="n">
        <f aca="false">'Historical Actuals'!B36+'Historical Actuals'!B42</f>
        <v>20836</v>
      </c>
      <c r="C32" s="18" t="n">
        <f aca="false">'Historical Actuals'!C36+'Historical Actuals'!C42</f>
        <v>24541</v>
      </c>
      <c r="D32" s="18" t="n">
        <f aca="false">'Historical Actuals'!D36+'Historical Actuals'!D42</f>
        <v>40758</v>
      </c>
      <c r="E32" s="19" t="n">
        <f aca="false">D32</f>
        <v>40758</v>
      </c>
      <c r="F32" s="19" t="n">
        <f aca="false">E32</f>
        <v>40758</v>
      </c>
      <c r="G32" s="19" t="n">
        <f aca="false">F32</f>
        <v>40758</v>
      </c>
      <c r="H32" s="19" t="n">
        <f aca="false">G32</f>
        <v>40758</v>
      </c>
      <c r="I32" s="19" t="n">
        <f aca="false">H32</f>
        <v>40758</v>
      </c>
    </row>
    <row r="33" customFormat="false" ht="15" hidden="false" customHeight="true" outlineLevel="0" collapsed="false">
      <c r="A33" s="6" t="s">
        <v>129</v>
      </c>
      <c r="B33" s="18" t="n">
        <f aca="false">'Historical Actuals'!B46</f>
        <v>99703</v>
      </c>
      <c r="C33" s="18" t="n">
        <f aca="false">'Historical Actuals'!C46</f>
        <v>103781</v>
      </c>
      <c r="D33" s="18" t="n">
        <f aca="false">'Historical Actuals'!D46</f>
        <v>131836</v>
      </c>
      <c r="E33" s="19" t="n">
        <f aca="false">E31+(D33-D31)</f>
        <v>132642.6928</v>
      </c>
      <c r="F33" s="19" t="n">
        <f aca="false">F31+(E33-E31)</f>
        <v>133326.566656</v>
      </c>
      <c r="G33" s="19" t="n">
        <f aca="false">G31+(F33-F31)</f>
        <v>134024.11798912</v>
      </c>
      <c r="H33" s="19" t="n">
        <f aca="false">H31+(G33-G31)</f>
        <v>134557.744758957</v>
      </c>
      <c r="I33" s="19" t="n">
        <f aca="false">I31+(H33-H31)</f>
        <v>135099.375930341</v>
      </c>
    </row>
    <row r="34" customFormat="false" ht="15" hidden="false" customHeight="true" outlineLevel="0" collapsed="false">
      <c r="A34" s="6" t="s">
        <v>207</v>
      </c>
      <c r="B34" s="18" t="n">
        <f aca="false">'Historical Actuals'!B47</f>
        <v>160957</v>
      </c>
      <c r="C34" s="18" t="n">
        <f aca="false">'Historical Actuals'!C47</f>
        <v>152318</v>
      </c>
      <c r="D34" s="18" t="n">
        <f aca="false">'Historical Actuals'!D47</f>
        <v>186450</v>
      </c>
      <c r="E34" s="19" t="n">
        <f aca="false">D34+E19-12000-8000</f>
        <v>179613.461164</v>
      </c>
      <c r="F34" s="19" t="n">
        <f aca="false">E34+F19-12000-8000</f>
        <v>173271.56705584</v>
      </c>
      <c r="G34" s="19" t="n">
        <f aca="false">F34+G19-12000-8000</f>
        <v>167727.05162714</v>
      </c>
      <c r="H34" s="19" t="n">
        <f aca="false">G34+H19-12000-8000</f>
        <v>162903.314018947</v>
      </c>
      <c r="I34" s="19" t="n">
        <f aca="false">H34+I19-12000-8000</f>
        <v>158585.826027378</v>
      </c>
    </row>
    <row r="35" customFormat="false" ht="15" hidden="false" customHeight="true" outlineLevel="0" collapsed="false">
      <c r="A35" s="6" t="s">
        <v>133</v>
      </c>
      <c r="B35" s="18" t="n">
        <f aca="false">'Historical Actuals'!B49</f>
        <v>161929</v>
      </c>
      <c r="C35" s="18" t="n">
        <f aca="false">'Historical Actuals'!C49</f>
        <v>153157</v>
      </c>
      <c r="D35" s="18" t="n">
        <f aca="false">'Historical Actuals'!D49</f>
        <v>192176</v>
      </c>
      <c r="E35" s="19" t="n">
        <f aca="false">E30-E33</f>
        <v>193268.9568</v>
      </c>
      <c r="F35" s="19" t="n">
        <f aca="false">F30-F33</f>
        <v>194522.725536</v>
      </c>
      <c r="G35" s="19" t="n">
        <f aca="false">G30-G33</f>
        <v>196196.848735488</v>
      </c>
      <c r="H35" s="19" t="n">
        <f aca="false">H30-H33</f>
        <v>198271.075753798</v>
      </c>
      <c r="I35" s="19" t="n">
        <f aca="false">I30-I33</f>
        <v>200172.80297777</v>
      </c>
    </row>
    <row r="36" customFormat="false" ht="15" hidden="false" customHeight="true" outlineLevel="0" collapsed="false">
      <c r="A36" s="6" t="s">
        <v>135</v>
      </c>
      <c r="B36" s="18" t="n">
        <f aca="false">'Historical Actuals'!B50</f>
        <v>261632</v>
      </c>
      <c r="C36" s="18" t="n">
        <f aca="false">'Historical Actuals'!C50</f>
        <v>256938</v>
      </c>
      <c r="D36" s="18" t="n">
        <f aca="false">'Historical Actuals'!D50</f>
        <v>324012</v>
      </c>
      <c r="E36" s="19" t="n">
        <f aca="false">E33+E35</f>
        <v>325911.6496</v>
      </c>
      <c r="F36" s="19" t="n">
        <f aca="false">F33+F35</f>
        <v>327849.292192</v>
      </c>
      <c r="G36" s="19" t="n">
        <f aca="false">G33+G35</f>
        <v>330220.966724608</v>
      </c>
      <c r="H36" s="19" t="n">
        <f aca="false">H33+H35</f>
        <v>332828.820512755</v>
      </c>
      <c r="I36" s="19" t="n">
        <f aca="false">I33+I35</f>
        <v>335272.178908111</v>
      </c>
    </row>
    <row r="37" customFormat="false" ht="15" hidden="false" customHeight="true" outlineLevel="0" collapsed="false">
      <c r="A37" s="6" t="s">
        <v>208</v>
      </c>
      <c r="B37" s="18" t="n">
        <f aca="false">B30-B36</f>
        <v>0</v>
      </c>
      <c r="C37" s="18" t="n">
        <f aca="false">C30-C36</f>
        <v>0</v>
      </c>
      <c r="D37" s="18" t="n">
        <f aca="false">D30-D36</f>
        <v>0</v>
      </c>
      <c r="E37" s="19" t="n">
        <f aca="false">E30-E36</f>
        <v>0</v>
      </c>
      <c r="F37" s="19" t="n">
        <f aca="false">F30-F36</f>
        <v>0</v>
      </c>
      <c r="G37" s="19" t="n">
        <f aca="false">G30-G36</f>
        <v>0</v>
      </c>
      <c r="H37" s="19" t="n">
        <f aca="false">H30-H36</f>
        <v>0</v>
      </c>
      <c r="I37" s="19" t="n">
        <f aca="false">I30-I36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6" min="2" style="1" width="48"/>
  </cols>
  <sheetData>
    <row r="1" customFormat="false" ht="18" hidden="false" customHeight="true" outlineLevel="0" collapsed="false">
      <c r="A1" s="27" t="s">
        <v>209</v>
      </c>
      <c r="B1" s="27"/>
      <c r="C1" s="27"/>
      <c r="D1" s="27"/>
      <c r="E1" s="27"/>
      <c r="F1" s="27"/>
      <c r="G1" s="27"/>
      <c r="H1" s="27"/>
    </row>
    <row r="2" customFormat="false" ht="18" hidden="false" customHeight="true" outlineLevel="0" collapsed="false">
      <c r="A2" s="8" t="s">
        <v>57</v>
      </c>
      <c r="B2" s="8" t="s">
        <v>169</v>
      </c>
      <c r="C2" s="8" t="s">
        <v>170</v>
      </c>
      <c r="D2" s="8" t="s">
        <v>171</v>
      </c>
      <c r="E2" s="8" t="s">
        <v>172</v>
      </c>
      <c r="F2" s="8" t="s">
        <v>173</v>
      </c>
    </row>
    <row r="3" customFormat="false" ht="15" hidden="false" customHeight="true" outlineLevel="0" collapsed="false">
      <c r="A3" s="6" t="s">
        <v>204</v>
      </c>
      <c r="B3" s="28" t="n">
        <f aca="false">Model!E26</f>
        <v>14908.187884</v>
      </c>
      <c r="C3" s="28" t="n">
        <f aca="false">Model!F26</f>
        <v>15489.36810624</v>
      </c>
      <c r="D3" s="28" t="n">
        <f aca="false">Model!G26</f>
        <v>16718.6511187559</v>
      </c>
      <c r="E3" s="28" t="n">
        <f aca="false">Model!H26</f>
        <v>17701.1075713126</v>
      </c>
      <c r="F3" s="28" t="n">
        <f aca="false">Model!I26</f>
        <v>18041.6166660162</v>
      </c>
    </row>
    <row r="4" customFormat="false" ht="15" hidden="false" customHeight="true" outlineLevel="0" collapsed="false">
      <c r="A4" s="6" t="s">
        <v>210</v>
      </c>
      <c r="B4" s="29" t="n">
        <v>0.5</v>
      </c>
      <c r="C4" s="29" t="n">
        <v>1.5</v>
      </c>
      <c r="D4" s="29" t="n">
        <v>2.5</v>
      </c>
      <c r="E4" s="29" t="n">
        <v>3.5</v>
      </c>
      <c r="F4" s="29" t="n">
        <v>4.5</v>
      </c>
    </row>
    <row r="5" customFormat="false" ht="15" hidden="false" customHeight="true" outlineLevel="0" collapsed="false">
      <c r="A5" s="6" t="s">
        <v>192</v>
      </c>
      <c r="B5" s="30" t="n">
        <f aca="false">Assumptions!B15</f>
        <v>0.085</v>
      </c>
      <c r="C5" s="30" t="n">
        <f aca="false">Assumptions!C15</f>
        <v>0.085</v>
      </c>
      <c r="D5" s="30" t="n">
        <f aca="false">Assumptions!D15</f>
        <v>0.085</v>
      </c>
      <c r="E5" s="30" t="n">
        <f aca="false">Assumptions!E15</f>
        <v>0.085</v>
      </c>
      <c r="F5" s="30" t="n">
        <f aca="false">Assumptions!F15</f>
        <v>0.085</v>
      </c>
    </row>
    <row r="6" customFormat="false" ht="15" hidden="false" customHeight="true" outlineLevel="0" collapsed="false">
      <c r="A6" s="6" t="s">
        <v>211</v>
      </c>
      <c r="B6" s="31" t="n">
        <f aca="false">1/(1+B5)^B4</f>
        <v>0.960030721474639</v>
      </c>
      <c r="C6" s="31" t="n">
        <f aca="false">1/(1+C5)^C4</f>
        <v>0.88482094145128</v>
      </c>
      <c r="D6" s="31" t="n">
        <f aca="false">1/(1+D5)^D4</f>
        <v>0.815503171844498</v>
      </c>
      <c r="E6" s="31" t="n">
        <f aca="false">1/(1+E5)^E4</f>
        <v>0.751615826584791</v>
      </c>
      <c r="F6" s="31" t="n">
        <f aca="false">1/(1+F5)^F4</f>
        <v>0.692733480723309</v>
      </c>
    </row>
    <row r="7" customFormat="false" ht="15" hidden="false" customHeight="true" outlineLevel="0" collapsed="false">
      <c r="A7" s="6" t="s">
        <v>212</v>
      </c>
      <c r="B7" s="28" t="n">
        <f aca="false">B3*B6</f>
        <v>14312.318370156</v>
      </c>
      <c r="C7" s="28" t="n">
        <f aca="false">C3*C6</f>
        <v>13705.3172702487</v>
      </c>
      <c r="D7" s="28" t="n">
        <f aca="false">D3*D6</f>
        <v>13634.113016307</v>
      </c>
      <c r="E7" s="28" t="n">
        <f aca="false">E3*E6</f>
        <v>13304.4325986784</v>
      </c>
      <c r="F7" s="28" t="n">
        <f aca="false">F3*F6</f>
        <v>12498.031910925</v>
      </c>
    </row>
    <row r="8" customFormat="false" ht="15" hidden="false" customHeight="true" outlineLevel="0" collapsed="false">
      <c r="B8" s="13"/>
      <c r="C8" s="13"/>
      <c r="D8" s="13"/>
      <c r="E8" s="13"/>
      <c r="F8" s="13"/>
    </row>
    <row r="9" customFormat="false" ht="15" hidden="false" customHeight="true" outlineLevel="0" collapsed="false">
      <c r="A9" s="6" t="s">
        <v>194</v>
      </c>
      <c r="B9" s="30" t="n">
        <f aca="false">Assumptions!B16</f>
        <v>0.02</v>
      </c>
      <c r="C9" s="13"/>
      <c r="D9" s="13"/>
      <c r="E9" s="13"/>
      <c r="F9" s="13"/>
    </row>
    <row r="10" customFormat="false" ht="15" hidden="false" customHeight="true" outlineLevel="0" collapsed="false">
      <c r="A10" s="6" t="s">
        <v>213</v>
      </c>
      <c r="B10" s="28" t="n">
        <f aca="false">F3*(1+B9)/(B5-B9)</f>
        <v>283114.599989792</v>
      </c>
      <c r="C10" s="13"/>
      <c r="D10" s="13"/>
      <c r="E10" s="13"/>
      <c r="F10" s="13"/>
    </row>
    <row r="11" customFormat="false" ht="15" hidden="false" customHeight="true" outlineLevel="0" collapsed="false">
      <c r="A11" s="6" t="s">
        <v>214</v>
      </c>
      <c r="B11" s="28" t="n">
        <f aca="false">B10*F6</f>
        <v>196122.962294516</v>
      </c>
      <c r="C11" s="13"/>
      <c r="D11" s="13"/>
      <c r="E11" s="13"/>
      <c r="F11" s="13"/>
    </row>
    <row r="12" customFormat="false" ht="15" hidden="false" customHeight="true" outlineLevel="0" collapsed="false">
      <c r="A12" s="6" t="s">
        <v>215</v>
      </c>
      <c r="B12" s="28" t="n">
        <f aca="false">SUM(B7:F7)+B11</f>
        <v>263577.175460831</v>
      </c>
      <c r="C12" s="13"/>
      <c r="D12" s="13"/>
      <c r="E12" s="13"/>
      <c r="F12" s="13"/>
    </row>
    <row r="13" customFormat="false" ht="15" hidden="false" customHeight="true" outlineLevel="0" collapsed="false">
      <c r="A13" s="6" t="s">
        <v>216</v>
      </c>
      <c r="B13" s="28" t="n">
        <f aca="false">Assumptions!B17</f>
        <v>34461</v>
      </c>
      <c r="C13" s="13"/>
      <c r="D13" s="13"/>
      <c r="E13" s="13"/>
      <c r="F13" s="13"/>
    </row>
    <row r="14" customFormat="false" ht="15" hidden="false" customHeight="true" outlineLevel="0" collapsed="false">
      <c r="A14" s="6" t="s">
        <v>217</v>
      </c>
      <c r="B14" s="28" t="n">
        <f aca="false">B12-B13</f>
        <v>229116.175460831</v>
      </c>
      <c r="C14" s="13"/>
      <c r="D14" s="13"/>
      <c r="E14" s="13"/>
      <c r="F14" s="13"/>
    </row>
    <row r="15" customFormat="false" ht="15" hidden="false" customHeight="true" outlineLevel="0" collapsed="false">
      <c r="A15" s="6" t="s">
        <v>218</v>
      </c>
      <c r="B15" s="28" t="n">
        <f aca="false">Assumptions!B18</f>
        <v>1856</v>
      </c>
      <c r="C15" s="13"/>
      <c r="D15" s="13"/>
      <c r="E15" s="13"/>
      <c r="F15" s="13"/>
    </row>
    <row r="16" customFormat="false" ht="15" hidden="false" customHeight="true" outlineLevel="0" collapsed="false">
      <c r="A16" s="6" t="s">
        <v>219</v>
      </c>
      <c r="B16" s="32" t="n">
        <f aca="false">B14/B15</f>
        <v>123.446215226741</v>
      </c>
      <c r="C16" s="13"/>
      <c r="D16" s="13"/>
      <c r="E16" s="13"/>
      <c r="F16" s="13"/>
    </row>
    <row r="17" customFormat="false" ht="15" hidden="false" customHeight="true" outlineLevel="0" collapsed="false"/>
    <row r="18" customFormat="false" ht="18" hidden="false" customHeight="true" outlineLevel="0" collapsed="false">
      <c r="A18" s="8" t="s">
        <v>220</v>
      </c>
      <c r="B18" s="8"/>
      <c r="C18" s="8"/>
      <c r="D18" s="8"/>
      <c r="E18" s="8"/>
      <c r="F18" s="8"/>
    </row>
    <row r="19" customFormat="false" ht="18" hidden="false" customHeight="true" outlineLevel="0" collapsed="false">
      <c r="A19" s="8" t="s">
        <v>221</v>
      </c>
      <c r="B19" s="33" t="n">
        <v>0.01</v>
      </c>
      <c r="C19" s="33" t="n">
        <v>0.015</v>
      </c>
      <c r="D19" s="33" t="n">
        <v>0.02</v>
      </c>
      <c r="E19" s="33" t="n">
        <v>0.025</v>
      </c>
      <c r="F19" s="33" t="n">
        <v>0.03</v>
      </c>
    </row>
    <row r="20" customFormat="false" ht="18" hidden="false" customHeight="true" outlineLevel="0" collapsed="false">
      <c r="A20" s="33" t="n">
        <v>0.075</v>
      </c>
      <c r="B20" s="34" t="n">
        <f aca="false">((SUM(B7:F7)+F3*(1+B$19)/($A20-B$19)*F6)-$B$13)/$B$15</f>
        <v>122.410237780544</v>
      </c>
      <c r="C20" s="34" t="n">
        <f aca="false">((SUM(B7:F7)+F3*(1+C$19)/($A20-C$19)*F6)-$B$13)/$B$15</f>
        <v>131.690869069395</v>
      </c>
      <c r="D20" s="34" t="n">
        <f aca="false">((SUM(B7:F7)+F3*(1+D$19)/($A20-D$19)*F6)-$B$13)/$B$15</f>
        <v>142.65888786531</v>
      </c>
      <c r="E20" s="34" t="n">
        <f aca="false">((SUM(B7:F7)+F3*(1+E$19)/($A20-E$19)*F6)-$B$13)/$B$15</f>
        <v>155.820510420409</v>
      </c>
      <c r="F20" s="34" t="n">
        <f aca="false">((SUM(B7:F7)+F3*(1+F$19)/($A20-F$19)*F6)-$B$13)/$B$15</f>
        <v>171.906937987751</v>
      </c>
    </row>
    <row r="21" customFormat="false" ht="18" hidden="false" customHeight="true" outlineLevel="0" collapsed="false">
      <c r="A21" s="33" t="n">
        <v>0.08</v>
      </c>
      <c r="B21" s="34" t="n">
        <f aca="false">((SUM(B7:F7)+F3*(1+B$19)/($A21-B$19)*F6)-$B$13)/$B$15</f>
        <v>114.93640049012</v>
      </c>
      <c r="C21" s="34" t="n">
        <f aca="false">((SUM(B7:F7)+F3*(1+C$19)/($A21-C$19)*F6)-$B$13)/$B$15</f>
        <v>122.928226503642</v>
      </c>
      <c r="D21" s="34" t="n">
        <f aca="false">((SUM(B7:F7)+F3*(1+D$19)/($A21-D$19)*F6)-$B$13)/$B$15</f>
        <v>132.252023519419</v>
      </c>
      <c r="E21" s="34" t="n">
        <f aca="false">((SUM(B7:F7)+F3*(1+E$19)/($A21-E$19)*F6)-$B$13)/$B$15</f>
        <v>143.271056356245</v>
      </c>
      <c r="F21" s="34" t="n">
        <f aca="false">((SUM(B7:F7)+F3*(1+F$19)/($A21-F$19)*F6)-$B$13)/$B$15</f>
        <v>156.493895760437</v>
      </c>
    </row>
    <row r="22" customFormat="false" ht="18" hidden="false" customHeight="true" outlineLevel="0" collapsed="false">
      <c r="A22" s="33" t="n">
        <v>0.085</v>
      </c>
      <c r="B22" s="34" t="n">
        <f aca="false">((SUM(B7:F7)+F3*(1+B$19)/($A22-B$19)*F6)-$B$13)/$B$15</f>
        <v>108.459074838419</v>
      </c>
      <c r="C22" s="34" t="n">
        <f aca="false">((SUM(B7:F7)+F3*(1+C$19)/($A22-C$19)*F6)-$B$13)/$B$15</f>
        <v>115.417390018711</v>
      </c>
      <c r="D22" s="34" t="n">
        <f aca="false">((SUM(B7:F7)+F3*(1+D$19)/($A22-D$19)*F6)-$B$13)/$B$15</f>
        <v>123.446215226741</v>
      </c>
      <c r="E22" s="34" t="n">
        <f aca="false">((SUM(B7:F7)+F3*(1+E$19)/($A22-E$19)*F6)-$B$13)/$B$15</f>
        <v>132.813177969442</v>
      </c>
      <c r="F22" s="34" t="n">
        <f aca="false">((SUM(B7:F7)+F3*(1+F$19)/($A22-F$19)*F6)-$B$13)/$B$15</f>
        <v>143.88322484718</v>
      </c>
    </row>
    <row r="23" customFormat="false" ht="18" hidden="false" customHeight="true" outlineLevel="0" collapsed="false">
      <c r="A23" s="33" t="n">
        <v>0.09</v>
      </c>
      <c r="B23" s="34" t="n">
        <f aca="false">((SUM(B7:F7)+F3*(1+B$19)/($A23-B$19)*F6)-$B$13)/$B$15</f>
        <v>102.791414893181</v>
      </c>
      <c r="C23" s="34" t="n">
        <f aca="false">((SUM(B7:F7)+F3*(1+C$19)/($A23-C$19)*F6)-$B$13)/$B$15</f>
        <v>108.907998398438</v>
      </c>
      <c r="D23" s="34" t="n">
        <f aca="false">((SUM(B7:F7)+F3*(1+D$19)/($A23-D$19)*F6)-$B$13)/$B$15</f>
        <v>115.898379547303</v>
      </c>
      <c r="E23" s="34" t="n">
        <f aca="false">((SUM(B7:F7)+F3*(1+E$19)/($A23-E$19)*F6)-$B$13)/$B$15</f>
        <v>123.96420394984</v>
      </c>
      <c r="F23" s="34" t="n">
        <f aca="false">((SUM(B7:F7)+F3*(1+F$19)/($A23-F$19)*F6)-$B$13)/$B$15</f>
        <v>133.374332419466</v>
      </c>
    </row>
    <row r="24" customFormat="false" ht="18" hidden="false" customHeight="true" outlineLevel="0" collapsed="false">
      <c r="A24" s="33" t="n">
        <v>0.095</v>
      </c>
      <c r="B24" s="34" t="n">
        <f aca="false">((SUM(B7:F7)+F3*(1+B$19)/($A24-B$19)*F6)-$B$13)/$B$15</f>
        <v>97.790538470912</v>
      </c>
      <c r="C24" s="34" t="n">
        <f aca="false">((SUM(B7:F7)+F3*(1+C$19)/($A24-C$19)*F6)-$B$13)/$B$15</f>
        <v>103.212280730699</v>
      </c>
      <c r="D24" s="34" t="n">
        <f aca="false">((SUM(B7:F7)+F3*(1+D$19)/($A24-D$19)*F6)-$B$13)/$B$15</f>
        <v>109.356921958457</v>
      </c>
      <c r="E24" s="34" t="n">
        <f aca="false">((SUM(B7:F7)+F3*(1+E$19)/($A24-E$19)*F6)-$B$13)/$B$15</f>
        <v>116.379369075895</v>
      </c>
      <c r="F24" s="34" t="n">
        <f aca="false">((SUM(B7:F7)+F3*(1+F$19)/($A24-F$19)*F6)-$B$13)/$B$15</f>
        <v>124.482192672938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48"/>
  </cols>
  <sheetData>
    <row r="1" customFormat="false" ht="18" hidden="false" customHeight="true" outlineLevel="0" collapsed="false">
      <c r="A1" s="8" t="s">
        <v>222</v>
      </c>
      <c r="B1" s="8" t="s">
        <v>58</v>
      </c>
      <c r="C1" s="8" t="s">
        <v>59</v>
      </c>
      <c r="D1" s="8" t="s">
        <v>60</v>
      </c>
      <c r="E1" s="8" t="s">
        <v>223</v>
      </c>
    </row>
    <row r="2" customFormat="false" ht="30" hidden="false" customHeight="true" outlineLevel="0" collapsed="false">
      <c r="A2" s="6" t="s">
        <v>224</v>
      </c>
      <c r="B2" s="28" t="n">
        <f aca="false">'Historical Actuals'!B6-SUM('Historical Actuals'!B3:B5)</f>
        <v>0</v>
      </c>
      <c r="C2" s="28" t="n">
        <f aca="false">'Historical Actuals'!C6-SUM('Historical Actuals'!C3:C5)</f>
        <v>0</v>
      </c>
      <c r="D2" s="28" t="n">
        <f aca="false">'Historical Actuals'!D6-SUM('Historical Actuals'!D3:D5)</f>
        <v>0</v>
      </c>
      <c r="E2" s="7" t="s">
        <v>225</v>
      </c>
    </row>
    <row r="3" customFormat="false" ht="30" hidden="false" customHeight="true" outlineLevel="0" collapsed="false">
      <c r="A3" s="6" t="s">
        <v>226</v>
      </c>
      <c r="B3" s="28" t="n">
        <f aca="false">'Historical Actuals'!B15-SUM('Historical Actuals'!B7:B14)</f>
        <v>0</v>
      </c>
      <c r="C3" s="28" t="n">
        <f aca="false">'Historical Actuals'!C15-SUM('Historical Actuals'!C7:C14)</f>
        <v>0</v>
      </c>
      <c r="D3" s="28" t="n">
        <f aca="false">'Historical Actuals'!D15-SUM('Historical Actuals'!D7:D14)</f>
        <v>0</v>
      </c>
      <c r="E3" s="7" t="s">
        <v>225</v>
      </c>
    </row>
    <row r="4" customFormat="false" ht="30" hidden="false" customHeight="true" outlineLevel="0" collapsed="false">
      <c r="A4" s="6" t="s">
        <v>227</v>
      </c>
      <c r="B4" s="28" t="n">
        <f aca="false">'Historical Actuals'!B16-('Historical Actuals'!B6+'Historical Actuals'!B15)</f>
        <v>0</v>
      </c>
      <c r="C4" s="28" t="n">
        <f aca="false">'Historical Actuals'!C16-('Historical Actuals'!C6+'Historical Actuals'!C15)</f>
        <v>0</v>
      </c>
      <c r="D4" s="28" t="n">
        <f aca="false">'Historical Actuals'!D16-('Historical Actuals'!D6+'Historical Actuals'!D15)</f>
        <v>0</v>
      </c>
      <c r="E4" s="7" t="s">
        <v>225</v>
      </c>
    </row>
    <row r="5" customFormat="false" ht="30" hidden="false" customHeight="true" outlineLevel="0" collapsed="false">
      <c r="A5" s="6" t="s">
        <v>228</v>
      </c>
      <c r="B5" s="28" t="n">
        <f aca="false">'Historical Actuals'!B20-('Historical Actuals'!B18+'Historical Actuals'!B19)</f>
        <v>0</v>
      </c>
      <c r="C5" s="28" t="n">
        <f aca="false">'Historical Actuals'!C20-('Historical Actuals'!C18+'Historical Actuals'!C19)</f>
        <v>0</v>
      </c>
      <c r="D5" s="28" t="n">
        <f aca="false">'Historical Actuals'!D20-('Historical Actuals'!D18+'Historical Actuals'!D19)</f>
        <v>0</v>
      </c>
      <c r="E5" s="7" t="s">
        <v>225</v>
      </c>
    </row>
    <row r="6" customFormat="false" ht="30" hidden="false" customHeight="true" outlineLevel="0" collapsed="false">
      <c r="A6" s="6" t="s">
        <v>229</v>
      </c>
      <c r="B6" s="28" t="n">
        <f aca="false">'Historical Actuals'!B35-'Historical Actuals'!B50</f>
        <v>0</v>
      </c>
      <c r="C6" s="28" t="n">
        <f aca="false">'Historical Actuals'!C35-'Historical Actuals'!C50</f>
        <v>0</v>
      </c>
      <c r="D6" s="28" t="n">
        <f aca="false">'Historical Actuals'!D35-'Historical Actuals'!D50</f>
        <v>0</v>
      </c>
      <c r="E6" s="7" t="s">
        <v>225</v>
      </c>
    </row>
    <row r="7" customFormat="false" ht="30" hidden="false" customHeight="true" outlineLevel="0" collapsed="false">
      <c r="A7" s="6" t="s">
        <v>230</v>
      </c>
      <c r="B7" s="28" t="n">
        <f aca="false">'Historical Actuals'!B55-('Historical Actuals'!B53+'Historical Actuals'!B54)</f>
        <v>0</v>
      </c>
      <c r="C7" s="28" t="n">
        <f aca="false">'Historical Actuals'!C55-('Historical Actuals'!C53+'Historical Actuals'!C54)</f>
        <v>0</v>
      </c>
      <c r="D7" s="28" t="n">
        <f aca="false">'Historical Actuals'!D55-('Historical Actuals'!D53+'Historical Actuals'!D54)</f>
        <v>0</v>
      </c>
      <c r="E7" s="7" t="s">
        <v>225</v>
      </c>
    </row>
    <row r="8" customFormat="false" ht="15" hidden="false" customHeight="true" outlineLevel="0" collapsed="false">
      <c r="A8" s="6" t="s">
        <v>231</v>
      </c>
      <c r="B8" s="28" t="n">
        <f aca="false">Model!B37</f>
        <v>0</v>
      </c>
      <c r="C8" s="28" t="n">
        <f aca="false">Model!C37</f>
        <v>0</v>
      </c>
      <c r="D8" s="28" t="n">
        <f aca="false">Model!D37</f>
        <v>0</v>
      </c>
      <c r="E8" s="7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2026-06-30T19:52:41Z</dcterms:created>
  <dc:creator/>
  <dc:description/>
  <dc:language>en-US</dc:language>
  <cp:lastModifiedBy/>
  <dcterms:modified xsi:type="dcterms:W3CDTF">2026-06-30T19:52:41Z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