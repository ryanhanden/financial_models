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3b05c57aa247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6a53149f0c6f4145"/>
    <x:sheet xmlns:r="http://schemas.openxmlformats.org/officeDocument/2006/relationships" name="Inputs" sheetId="2" r:id="R5e0ef5a769064410"/>
    <x:sheet xmlns:r="http://schemas.openxmlformats.org/officeDocument/2006/relationships" name="Historical Financials" sheetId="3" r:id="Rf931a873f89d49a1"/>
    <x:sheet xmlns:r="http://schemas.openxmlformats.org/officeDocument/2006/relationships" name="Forecast Model" sheetId="4" r:id="Rccdb723b02d248bf"/>
    <x:sheet xmlns:r="http://schemas.openxmlformats.org/officeDocument/2006/relationships" name="DCF" sheetId="5" r:id="R7e11f948c0c54eb1"/>
    <x:sheet xmlns:r="http://schemas.openxmlformats.org/officeDocument/2006/relationships" name="Segment &amp; SBC" sheetId="6" r:id="R4f078e6c97304865"/>
    <x:sheet xmlns:r="http://schemas.openxmlformats.org/officeDocument/2006/relationships" name="Sources" sheetId="7" r:id="Re14c6485eb4d4db7"/>
    <x:sheet xmlns:r="http://schemas.openxmlformats.org/officeDocument/2006/relationships" name="QA Checks" sheetId="8" r:id="R074b2cae733d4e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;[Red](0.0%);-"/>
    <x:numFmt numFmtId="201" formatCode="0"/>
    <x:numFmt numFmtId="202" formatCode="#,##0.0;[Red](#,##0.0);-"/>
    <x:numFmt numFmtId="203" formatCode="$0.00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sz val="11"/>
      <x:color rgb="FF000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200" fontId="3" fillId="5" borderId="0" xfId="0" applyNumberFormat="1" applyFont="1" applyFill="1" applyBorder="1"/>
    <x:xf numFmtId="200" fontId="3" fillId="5" borderId="1" xfId="0" applyNumberFormat="1" applyFont="1" applyFill="1" applyBorder="1"/>
    <x:xf numFmtId="201" fontId="3" fillId="5" borderId="0" xfId="0" applyNumberFormat="1" applyFont="1" applyFill="1" applyBorder="1"/>
    <x:xf numFmtId="201" fontId="3" fillId="5" borderId="1" xfId="0" applyNumberFormat="1" applyFont="1" applyFill="1" applyBorder="1"/>
    <x:xf numFmtId="202" fontId="3" fillId="5" borderId="0" xfId="0" applyNumberFormat="1" applyFont="1" applyFill="1" applyBorder="1"/>
    <x:xf numFmtId="202" fontId="3" fillId="5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2" fontId="4" fillId="0" borderId="0" xfId="0" applyNumberFormat="1" applyFont="1" applyFill="1" applyBorder="1"/>
    <x:xf numFmtId="200" fontId="4" fillId="0" borderId="0" xfId="0" applyNumberFormat="1" applyFont="1" applyFill="1" applyBorder="1"/>
    <x:xf numFmtId="202" fontId="4" fillId="0" borderId="1" xfId="0" applyNumberFormat="1" applyFont="1" applyFill="1" applyBorder="1"/>
    <x:xf numFmtId="200" fontId="4" fillId="0" borderId="1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202" fontId="5" fillId="0" borderId="1" xfId="0" applyNumberFormat="1" applyFont="1" applyFill="1" applyBorder="1"/>
    <x:xf numFmtId="200" fontId="5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0" borderId="0" xfId="0" applyNumberFormat="1" applyFont="1" applyFill="1" applyBorder="1"/>
    <x:xf numFmtId="202" fontId="5" fillId="6" borderId="0" xfId="0" applyNumberFormat="1" applyFont="1" applyFill="1" applyBorder="1"/>
    <x:xf numFmtId="202" fontId="3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854c80f5194bec" /><Relationship Type="http://schemas.openxmlformats.org/officeDocument/2006/relationships/theme" Target="/xl/theme/theme1.xml" Id="R2fd98acc8c984b6d" /><Relationship Type="http://schemas.openxmlformats.org/officeDocument/2006/relationships/sharedStrings" Target="/xl/sharedStrings.xml" Id="R990be1989c8141d6" /><Relationship Type="http://schemas.openxmlformats.org/officeDocument/2006/relationships/worksheet" Target="/xl/worksheets/sheet1.xml" Id="R6a53149f0c6f4145" /><Relationship Type="http://schemas.openxmlformats.org/officeDocument/2006/relationships/worksheet" Target="/xl/worksheets/sheet2.xml" Id="R5e0ef5a769064410" /><Relationship Type="http://schemas.openxmlformats.org/officeDocument/2006/relationships/worksheet" Target="/xl/worksheets/sheet3.xml" Id="Rf931a873f89d49a1" /><Relationship Type="http://schemas.openxmlformats.org/officeDocument/2006/relationships/worksheet" Target="/xl/worksheets/sheet4.xml" Id="Rccdb723b02d248bf" /><Relationship Type="http://schemas.openxmlformats.org/officeDocument/2006/relationships/worksheet" Target="/xl/worksheets/sheet5.xml" Id="R7e11f948c0c54eb1" /><Relationship Type="http://schemas.openxmlformats.org/officeDocument/2006/relationships/worksheet" Target="/xl/worksheets/sheet6.xml" Id="R4f078e6c97304865" /><Relationship Type="http://schemas.openxmlformats.org/officeDocument/2006/relationships/worksheet" Target="/xl/worksheets/sheet7.xml" Id="Re14c6485eb4d4db7" /><Relationship Type="http://schemas.openxmlformats.org/officeDocument/2006/relationships/worksheet" Target="/xl/worksheets/sheet8.xml" Id="R074b2cae733d4e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0" hidden="0" customWidth="1"/>
  </x:cols>
  <x:sheetData>
    <x:row r="1">
      <x:c r="A1" s="4" t="str">
        <x:v>Palantir Technologies Inc. (PLTR) — Banker-Style EDGAR-Tied Model</x:v>
      </x:c>
      <x:c r="B1" t="str">
        <x:v>Palantir Technologies Inc. (PLTR) — Banker-Style EDGAR-Tied Model</x:v>
      </x:c>
      <x:c r="C1" t="str">
        <x:v>Palantir Technologies Inc. (PLTR) — Banker-Style EDGAR-Tied Model</x:v>
      </x:c>
      <x:c r="D1" t="str">
        <x:v>Palantir Technologies Inc. (PLTR) — Banker-Style EDGAR-Tied Model</x:v>
      </x:c>
      <x:c r="E1" t="str">
        <x:v>Palantir Technologies Inc. (PLTR) — Banker-Style EDGAR-Tied Model</x:v>
      </x:c>
      <x:c r="F1" t="str">
        <x:v>Palantir Technologies Inc. (PLTR) — Banker-Style EDGAR-Tied Model</x:v>
      </x:c>
      <x:c r="G1" t="str">
        <x:v>Palantir Technologies Inc. (PLTR) — Banker-Style EDGAR-Tied Model</x:v>
      </x:c>
      <x:c r="H1" t="str">
        <x:v>Palantir Technologies Inc. (PLTR) — Banker-Style EDGAR-Tied Model</x:v>
      </x:c>
    </x:row>
    <x:row r="3">
      <x:c r="A3" s="9" t="str">
        <x:v>Model status</x:v>
      </x:c>
      <x:c r="B3" t="str">
        <x:v>Historical actuals tied to EDGAR / official 10-K; forecast/DCF assumptions separated.</x:v>
      </x:c>
      <x:c r="C3" t="str"/>
      <x:c r="D3" t="str"/>
      <x:c r="E3" t="str"/>
      <x:c r="F3" t="str"/>
      <x:c r="G3" t="str"/>
      <x:c r="H3" t="str"/>
    </x:row>
    <x:row r="4">
      <x:c r="A4" s="9" t="str">
        <x:v>Currency / units</x:v>
      </x:c>
      <x:c r="B4" t="str">
        <x:v>$ in millions except per-share and share-count data</x:v>
      </x:c>
      <x:c r="C4" t="str"/>
      <x:c r="D4" t="str"/>
      <x:c r="E4" t="str"/>
      <x:c r="F4" t="str"/>
      <x:c r="G4" t="str"/>
      <x:c r="H4" t="str"/>
    </x:row>
    <x:row r="5">
      <x:c r="A5" s="9" t="str">
        <x:v>Historical period</x:v>
      </x:c>
      <x:c r="B5" t="str">
        <x:v>FY2023A–FY2025A</x:v>
      </x:c>
      <x:c r="C5" t="str"/>
      <x:c r="D5" t="str"/>
      <x:c r="E5" t="str"/>
      <x:c r="F5" t="str"/>
      <x:c r="G5" t="str"/>
      <x:c r="H5" t="str"/>
    </x:row>
    <x:row r="6">
      <x:c r="A6" s="9" t="str">
        <x:v>Forecast period</x:v>
      </x:c>
      <x:c r="B6" t="str">
        <x:v>FY2026E–FY2030E</x:v>
      </x:c>
      <x:c r="C6" t="str"/>
      <x:c r="D6" t="str"/>
      <x:c r="E6" t="str"/>
      <x:c r="F6" t="str"/>
      <x:c r="G6" t="str"/>
      <x:c r="H6" t="str"/>
    </x:row>
    <x:row r="7">
      <x:c r="A7" s="9" t="str">
        <x:v>Primary sources</x:v>
      </x:c>
      <x:c r="B7" t="str">
        <x:v>FY2025 Form 10-K PDF and FY2024 Form 10-K HTML for FY2023 balance sheet.</x:v>
      </x:c>
      <x:c r="C7" t="str"/>
      <x:c r="D7" t="str"/>
      <x:c r="E7" t="str"/>
      <x:c r="F7" t="str"/>
      <x:c r="G7" t="str"/>
      <x:c r="H7" t="str"/>
    </x:row>
    <x:row r="8">
      <x:c r="A8" s="9" t="str">
        <x:v>Key analytical focus</x:v>
      </x:c>
      <x:c r="B8" t="str">
        <x:v>AI-driven revenue growth, government/commercial mix, SBC normalization, margin expansion, net-cash balance sheet, and DCF sensitivity.</x:v>
      </x:c>
      <x:c r="C8" t="str"/>
      <x:c r="D8" t="str"/>
      <x:c r="E8" t="str"/>
      <x:c r="F8" t="str"/>
      <x:c r="G8" t="str"/>
      <x:c r="H8" t="str"/>
    </x:row>
    <x:row r="10">
      <x:c r="A10" s="14" t="str">
        <x:v>Color convention</x:v>
      </x:c>
      <x:c r="B10" t="str"/>
      <x:c r="C10" t="str"/>
      <x:c r="D10" t="str"/>
      <x:c r="E10" t="str"/>
      <x:c r="F10" t="str"/>
      <x:c r="G10" t="str"/>
      <x:c r="H10" t="str"/>
    </x:row>
    <x:row r="11">
      <x:c r="A11" t="str">
        <x:v>Blue font</x:v>
      </x:c>
      <x:c r="B11" t="str">
        <x:v>Hardcoded inputs / assumptions</x:v>
      </x:c>
      <x:c r="C11" t="str"/>
      <x:c r="D11" t="str"/>
      <x:c r="E11" t="str"/>
      <x:c r="F11" t="str"/>
      <x:c r="G11" t="str"/>
      <x:c r="H11" t="str"/>
    </x:row>
    <x:row r="12">
      <x:c r="A12" t="str">
        <x:v>Black font</x:v>
      </x:c>
      <x:c r="B12" t="str">
        <x:v>Formulas</x:v>
      </x:c>
      <x:c r="C12" t="str"/>
      <x:c r="D12" t="str"/>
      <x:c r="E12" t="str"/>
      <x:c r="F12" t="str"/>
      <x:c r="G12" t="str"/>
      <x:c r="H12" t="str"/>
    </x:row>
    <x:row r="13">
      <x:c r="A13" t="str">
        <x:v>Green font</x:v>
      </x:c>
      <x:c r="B13" t="str">
        <x:v>Internal workbook links</x:v>
      </x:c>
      <x:c r="C13" t="str"/>
      <x:c r="D13" t="str"/>
      <x:c r="E13" t="str"/>
      <x:c r="F13" t="str"/>
      <x:c r="G13" t="str"/>
      <x:c r="H13" t="str"/>
    </x:row>
    <x:row r="14">
      <x:c r="A14" t="str">
        <x:v>Yellow fill</x:v>
      </x:c>
      <x:c r="B14" t="str">
        <x:v>Forecast assumption cells</x:v>
      </x:c>
      <x:c r="C14" t="str"/>
      <x:c r="D14" t="str"/>
      <x:c r="E14" t="str"/>
      <x:c r="F14" t="str"/>
      <x:c r="G14" t="str"/>
      <x:c r="H14" t="str"/>
    </x:row>
  </x:sheetData>
  <x:mergeCells>
    <x:mergeCell ref="A1:H1"/>
    <x:mergeCell ref="A10:H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6.130000114440918" hidden="0" customWidth="1"/>
    <x:col min="3" max="3" width="5.130000114440918" hidden="0" customWidth="1"/>
    <x:col min="4" max="4" width="5.130000114440918" hidden="0" customWidth="1"/>
    <x:col min="5" max="5" width="5.130000114440918" hidden="0" customWidth="1"/>
    <x:col min="6" max="6" width="5.130000114440918" hidden="0" customWidth="1"/>
    <x:col min="7" max="7" width="48" hidden="0" customWidth="1"/>
    <x:col min="8" max="8" width="23.3799991607666" hidden="0" customWidth="1"/>
    <x:col min="9" max="9" width="16.3799991607666" hidden="0" customWidth="1"/>
  </x:cols>
  <x:sheetData>
    <x:row r="1">
      <x:c r="A1" s="4" t="str">
        <x:v>Palantir Forecast Assumptions</x:v>
      </x:c>
      <x:c r="B1" t="str"/>
      <x:c r="C1" t="str"/>
      <x:c r="D1" t="str"/>
      <x:c r="E1" t="str"/>
      <x:c r="F1" t="str"/>
      <x:c r="G1" t="str"/>
      <x:c r="H1" t="str"/>
      <x:c r="I1" t="str"/>
    </x:row>
    <x:row r="3">
      <x:c r="A3" s="18" t="str">
        <x:v>Metric</x:v>
      </x:c>
      <x:c r="B3" s="18" t="str">
        <x:v>2026E</x:v>
      </x:c>
      <x:c r="C3" s="18" t="str">
        <x:v>2027E</x:v>
      </x:c>
      <x:c r="D3" s="18" t="str">
        <x:v>2028E</x:v>
      </x:c>
      <x:c r="E3" s="18" t="str">
        <x:v>2029E</x:v>
      </x:c>
      <x:c r="F3" s="18" t="str">
        <x:v>2030E</x:v>
      </x:c>
      <x:c r="G3" s="18" t="str">
        <x:v>Source / rationale</x:v>
      </x:c>
      <x:c r="H3" s="18" t="str">
        <x:v>Model treatment</x:v>
      </x:c>
      <x:c r="I3" s="18" t="str">
        <x:v>Status</x:v>
      </x:c>
    </x:row>
    <x:row r="4">
      <x:c r="A4" t="str">
        <x:v>Revenue growth</x:v>
      </x:c>
      <x:c r="B4" s="24" t="n">
        <x:v>0.35</x:v>
      </x:c>
      <x:c r="C4" s="24" t="n">
        <x:v>0.28</x:v>
      </x:c>
      <x:c r="D4" s="24" t="n">
        <x:v>0.22</x:v>
      </x:c>
      <x:c r="E4" s="24" t="n">
        <x:v>0.18</x:v>
      </x:c>
      <x:c r="F4" s="24" t="n">
        <x:v>0.15</x:v>
      </x:c>
      <x:c r="G4" t="str">
        <x:v>Assumption; decelerates from FY2025 56% actual growth.</x:v>
      </x:c>
      <x:c r="H4" t="str">
        <x:v>Revenue forecast</x:v>
      </x:c>
      <x:c r="I4" t="str">
        <x:v>Assumption</x:v>
      </x:c>
    </x:row>
    <x:row r="5">
      <x:c r="A5" t="str">
        <x:v>Cost of revenue % revenue</x:v>
      </x:c>
      <x:c r="B5" s="24" t="n">
        <x:v>0.175</x:v>
      </x:c>
      <x:c r="C5" s="24" t="n">
        <x:v>0.17</x:v>
      </x:c>
      <x:c r="D5" s="24" t="n">
        <x:v>0.168</x:v>
      </x:c>
      <x:c r="E5" s="24" t="n">
        <x:v>0.165</x:v>
      </x:c>
      <x:c r="F5" s="24" t="n">
        <x:v>0.162</x:v>
      </x:c>
      <x:c r="G5" t="str">
        <x:v>Assumption based on recent gross margin trend.</x:v>
      </x:c>
      <x:c r="H5" t="str">
        <x:v>Gross profit</x:v>
      </x:c>
      <x:c r="I5" t="str">
        <x:v>Assumption</x:v>
      </x:c>
    </x:row>
    <x:row r="6">
      <x:c r="A6" t="str">
        <x:v>Sales &amp; marketing % revenue</x:v>
      </x:c>
      <x:c r="B6" s="24" t="n">
        <x:v>0.225</x:v>
      </x:c>
      <x:c r="C6" s="24" t="n">
        <x:v>0.215</x:v>
      </x:c>
      <x:c r="D6" s="24" t="n">
        <x:v>0.205</x:v>
      </x:c>
      <x:c r="E6" s="24" t="n">
        <x:v>0.195</x:v>
      </x:c>
      <x:c r="F6" s="24" t="n">
        <x:v>0.185</x:v>
      </x:c>
      <x:c r="G6" t="str">
        <x:v>Assumption; operating leverage over forecast.</x:v>
      </x:c>
      <x:c r="H6" t="str">
        <x:v>Operating expense</x:v>
      </x:c>
      <x:c r="I6" t="str">
        <x:v>Assumption</x:v>
      </x:c>
    </x:row>
    <x:row r="7">
      <x:c r="A7" t="str">
        <x:v>R&amp;D % revenue</x:v>
      </x:c>
      <x:c r="B7" s="24" t="n">
        <x:v>0.118</x:v>
      </x:c>
      <x:c r="C7" s="24" t="n">
        <x:v>0.115</x:v>
      </x:c>
      <x:c r="D7" s="24" t="n">
        <x:v>0.112</x:v>
      </x:c>
      <x:c r="E7" s="24" t="n">
        <x:v>0.11</x:v>
      </x:c>
      <x:c r="F7" s="24" t="n">
        <x:v>0.108</x:v>
      </x:c>
      <x:c r="G7" t="str">
        <x:v>Assumption; sustained product investment.</x:v>
      </x:c>
      <x:c r="H7" t="str">
        <x:v>Operating expense</x:v>
      </x:c>
      <x:c r="I7" t="str">
        <x:v>Assumption</x:v>
      </x:c>
    </x:row>
    <x:row r="8">
      <x:c r="A8" t="str">
        <x:v>G&amp;A % revenue</x:v>
      </x:c>
      <x:c r="B8" s="24" t="n">
        <x:v>0.142</x:v>
      </x:c>
      <x:c r="C8" s="24" t="n">
        <x:v>0.135</x:v>
      </x:c>
      <x:c r="D8" s="24" t="n">
        <x:v>0.13</x:v>
      </x:c>
      <x:c r="E8" s="24" t="n">
        <x:v>0.125</x:v>
      </x:c>
      <x:c r="F8" s="24" t="n">
        <x:v>0.12</x:v>
      </x:c>
      <x:c r="G8" t="str">
        <x:v>Assumption; fixed-cost leverage.</x:v>
      </x:c>
      <x:c r="H8" t="str">
        <x:v>Operating expense</x:v>
      </x:c>
      <x:c r="I8" t="str">
        <x:v>Assumption</x:v>
      </x:c>
    </x:row>
    <x:row r="9">
      <x:c r="A9" t="str">
        <x:v>Interest income % cash + securities</x:v>
      </x:c>
      <x:c r="B9" s="24" t="n">
        <x:v>0.03</x:v>
      </x:c>
      <x:c r="C9" s="24" t="n">
        <x:v>0.027</x:v>
      </x:c>
      <x:c r="D9" s="24" t="n">
        <x:v>0.024</x:v>
      </x:c>
      <x:c r="E9" s="24" t="n">
        <x:v>0.022</x:v>
      </x:c>
      <x:c r="F9" s="24" t="n">
        <x:v>0.02</x:v>
      </x:c>
      <x:c r="G9" t="str">
        <x:v>Assumption; yield declines over time.</x:v>
      </x:c>
      <x:c r="H9" t="str">
        <x:v>Non-operating income</x:v>
      </x:c>
      <x:c r="I9" t="str">
        <x:v>Assumption</x:v>
      </x:c>
    </x:row>
    <x:row r="10">
      <x:c r="A10" t="str">
        <x:v>Other income / (expense)</x:v>
      </x:c>
      <x:c r="B10" s="24" t="n">
        <x:v>0</x:v>
      </x:c>
      <x:c r="C10" s="24" t="n">
        <x:v>0</x:v>
      </x:c>
      <x:c r="D10" s="24" t="n">
        <x:v>0</x:v>
      </x:c>
      <x:c r="E10" s="24" t="n">
        <x:v>0</x:v>
      </x:c>
      <x:c r="F10" s="24" t="n">
        <x:v>0</x:v>
      </x:c>
      <x:c r="G10" t="str">
        <x:v>Assumption; no recurring non-operating gain/loss forecast.</x:v>
      </x:c>
      <x:c r="H10" t="str">
        <x:v>Non-operating income</x:v>
      </x:c>
      <x:c r="I10" t="str">
        <x:v>Assumption</x:v>
      </x:c>
    </x:row>
    <x:row r="11">
      <x:c r="A11" t="str">
        <x:v>Tax rate</x:v>
      </x:c>
      <x:c r="B11" s="24" t="n">
        <x:v>0.03</x:v>
      </x:c>
      <x:c r="C11" s="24" t="n">
        <x:v>0.05</x:v>
      </x:c>
      <x:c r="D11" s="24" t="n">
        <x:v>0.08</x:v>
      </x:c>
      <x:c r="E11" s="24" t="n">
        <x:v>0.1</x:v>
      </x:c>
      <x:c r="F11" s="24" t="n">
        <x:v>0.12</x:v>
      </x:c>
      <x:c r="G11" t="str">
        <x:v>Assumption; tax rate normalizes over time.</x:v>
      </x:c>
      <x:c r="H11" t="str">
        <x:v>Tax expense</x:v>
      </x:c>
      <x:c r="I11" t="str">
        <x:v>Assumption</x:v>
      </x:c>
    </x:row>
    <x:row r="12">
      <x:c r="A12" t="str">
        <x:v>NCI % net income</x:v>
      </x:c>
      <x:c r="B12" s="24" t="n">
        <x:v>0.006</x:v>
      </x:c>
      <x:c r="C12" s="24" t="n">
        <x:v>0.006</x:v>
      </x:c>
      <x:c r="D12" s="24" t="n">
        <x:v>0.006</x:v>
      </x:c>
      <x:c r="E12" s="24" t="n">
        <x:v>0.006</x:v>
      </x:c>
      <x:c r="F12" s="24" t="n">
        <x:v>0.006</x:v>
      </x:c>
      <x:c r="G12" t="str">
        <x:v>Assumption based on recent NCI share.</x:v>
      </x:c>
      <x:c r="H12" t="str">
        <x:v>NCI bridge</x:v>
      </x:c>
      <x:c r="I12" t="str">
        <x:v>Assumption</x:v>
      </x:c>
    </x:row>
    <x:row r="13">
      <x:c r="A13" t="str">
        <x:v>Diluted share count growth</x:v>
      </x:c>
      <x:c r="B13" s="24" t="n">
        <x:v>0.025</x:v>
      </x:c>
      <x:c r="C13" s="24" t="n">
        <x:v>0.02</x:v>
      </x:c>
      <x:c r="D13" s="24" t="n">
        <x:v>0.018</x:v>
      </x:c>
      <x:c r="E13" s="24" t="n">
        <x:v>0.015</x:v>
      </x:c>
      <x:c r="F13" s="24" t="n">
        <x:v>0.012</x:v>
      </x:c>
      <x:c r="G13" t="str">
        <x:v>Assumption; SBC dilution partially offset by repurchases.</x:v>
      </x:c>
      <x:c r="H13" t="str">
        <x:v>EPS denominator</x:v>
      </x:c>
      <x:c r="I13" t="str">
        <x:v>Assumption</x:v>
      </x:c>
    </x:row>
    <x:row r="14">
      <x:c r="A14" t="str">
        <x:v>Capex % revenue</x:v>
      </x:c>
      <x:c r="B14" s="24" t="n">
        <x:v>0.008</x:v>
      </x:c>
      <x:c r="C14" s="24" t="n">
        <x:v>0.008</x:v>
      </x:c>
      <x:c r="D14" s="24" t="n">
        <x:v>0.008</x:v>
      </x:c>
      <x:c r="E14" s="24" t="n">
        <x:v>0.008</x:v>
      </x:c>
      <x:c r="F14" s="24" t="n">
        <x:v>0.008</x:v>
      </x:c>
      <x:c r="G14" t="str">
        <x:v>Assumption; asset-light software model.</x:v>
      </x:c>
      <x:c r="H14" t="str">
        <x:v>FCF forecast</x:v>
      </x:c>
      <x:c r="I14" t="str">
        <x:v>Assumption</x:v>
      </x:c>
    </x:row>
    <x:row r="15">
      <x:c r="A15" t="str">
        <x:v>D&amp;A % revenue</x:v>
      </x:c>
      <x:c r="B15" s="24" t="n">
        <x:v>0.006</x:v>
      </x:c>
      <x:c r="C15" s="24" t="n">
        <x:v>0.006</x:v>
      </x:c>
      <x:c r="D15" s="24" t="n">
        <x:v>0.006</x:v>
      </x:c>
      <x:c r="E15" s="24" t="n">
        <x:v>0.006</x:v>
      </x:c>
      <x:c r="F15" s="24" t="n">
        <x:v>0.006</x:v>
      </x:c>
      <x:c r="G15" t="str">
        <x:v>Assumption; approximates recent D&amp;A intensity.</x:v>
      </x:c>
      <x:c r="H15" t="str">
        <x:v>CFO bridge</x:v>
      </x:c>
      <x:c r="I15" t="str">
        <x:v>Assumption</x:v>
      </x:c>
    </x:row>
    <x:row r="16">
      <x:c r="A16" t="str">
        <x:v>SBC % revenue</x:v>
      </x:c>
      <x:c r="B16" s="24" t="n">
        <x:v>0.135</x:v>
      </x:c>
      <x:c r="C16" s="24" t="n">
        <x:v>0.115</x:v>
      </x:c>
      <x:c r="D16" s="24" t="n">
        <x:v>0.095</x:v>
      </x:c>
      <x:c r="E16" s="24" t="n">
        <x:v>0.08</x:v>
      </x:c>
      <x:c r="F16" s="24" t="n">
        <x:v>0.065</x:v>
      </x:c>
      <x:c r="G16" t="str">
        <x:v>Assumption; SBC normalizes from FY2025 level.</x:v>
      </x:c>
      <x:c r="H16" t="str">
        <x:v>Earnings quality / adjusted FCF</x:v>
      </x:c>
      <x:c r="I16" t="str">
        <x:v>Assumption</x:v>
      </x:c>
    </x:row>
    <x:row r="17">
      <x:c r="A17" t="str">
        <x:v>AR days</x:v>
      </x:c>
      <x:c r="B17" s="26" t="n">
        <x:v>85</x:v>
      </x:c>
      <x:c r="C17" s="26" t="n">
        <x:v>82</x:v>
      </x:c>
      <x:c r="D17" s="26" t="n">
        <x:v>80</x:v>
      </x:c>
      <x:c r="E17" s="26" t="n">
        <x:v>78</x:v>
      </x:c>
      <x:c r="F17" s="26" t="n">
        <x:v>75</x:v>
      </x:c>
      <x:c r="G17" t="str">
        <x:v>Assumption; working-capital efficiency.</x:v>
      </x:c>
      <x:c r="H17" t="str">
        <x:v>Balance sheet forecast</x:v>
      </x:c>
      <x:c r="I17" t="str">
        <x:v>Assumption</x:v>
      </x:c>
    </x:row>
    <x:row r="18">
      <x:c r="A18" t="str">
        <x:v>Prepaids % revenue</x:v>
      </x:c>
      <x:c r="B18" s="24" t="n">
        <x:v>0.03</x:v>
      </x:c>
      <x:c r="C18" s="24" t="n">
        <x:v>0.03</x:v>
      </x:c>
      <x:c r="D18" s="24" t="n">
        <x:v>0.03</x:v>
      </x:c>
      <x:c r="E18" s="24" t="n">
        <x:v>0.03</x:v>
      </x:c>
      <x:c r="F18" s="24" t="n">
        <x:v>0.03</x:v>
      </x:c>
      <x:c r="G18" t="str">
        <x:v>Assumption.</x:v>
      </x:c>
      <x:c r="H18" t="str">
        <x:v>Balance sheet forecast</x:v>
      </x:c>
      <x:c r="I18" t="str">
        <x:v>Assumption</x:v>
      </x:c>
    </x:row>
    <x:row r="19">
      <x:c r="A19" t="str">
        <x:v>Deferred revenue % revenue</x:v>
      </x:c>
      <x:c r="B19" s="24" t="n">
        <x:v>0.095</x:v>
      </x:c>
      <x:c r="C19" s="24" t="n">
        <x:v>0.09</x:v>
      </x:c>
      <x:c r="D19" s="24" t="n">
        <x:v>0.085</x:v>
      </x:c>
      <x:c r="E19" s="24" t="n">
        <x:v>0.08</x:v>
      </x:c>
      <x:c r="F19" s="24" t="n">
        <x:v>0.075</x:v>
      </x:c>
      <x:c r="G19" t="str">
        <x:v>Assumption.</x:v>
      </x:c>
      <x:c r="H19" t="str">
        <x:v>Balance sheet forecast</x:v>
      </x:c>
      <x:c r="I19" t="str">
        <x:v>Assumption</x:v>
      </x:c>
    </x:row>
    <x:row r="20">
      <x:c r="A20" t="str">
        <x:v>Customer deposits % revenue</x:v>
      </x:c>
      <x:c r="B20" s="24" t="n">
        <x:v>0.075</x:v>
      </x:c>
      <x:c r="C20" s="24" t="n">
        <x:v>0.07</x:v>
      </x:c>
      <x:c r="D20" s="24" t="n">
        <x:v>0.065</x:v>
      </x:c>
      <x:c r="E20" s="24" t="n">
        <x:v>0.06</x:v>
      </x:c>
      <x:c r="F20" s="24" t="n">
        <x:v>0.055</x:v>
      </x:c>
      <x:c r="G20" t="str">
        <x:v>Assumption.</x:v>
      </x:c>
      <x:c r="H20" t="str">
        <x:v>Balance sheet forecast</x:v>
      </x:c>
      <x:c r="I20" t="str">
        <x:v>Assumption</x:v>
      </x:c>
    </x:row>
    <x:row r="21">
      <x:c r="A21" t="str">
        <x:v>WACC</x:v>
      </x:c>
      <x:c r="B21" s="28" t="n">
        <x:v>0.095</x:v>
      </x:c>
      <x:c r="C21" s="21" t="str"/>
      <x:c r="D21" s="21" t="str"/>
      <x:c r="E21" s="21" t="str"/>
      <x:c r="F21" s="21" t="str"/>
      <x:c r="G21" t="str">
        <x:v>Assumption.</x:v>
      </x:c>
      <x:c r="H21" t="str">
        <x:v>DCF</x:v>
      </x:c>
      <x:c r="I21" t="str">
        <x:v>Assumption</x:v>
      </x:c>
    </x:row>
    <x:row r="22">
      <x:c r="A22" t="str">
        <x:v>Terminal growth rate</x:v>
      </x:c>
      <x:c r="B22" s="28" t="n">
        <x:v>0.035</x:v>
      </x:c>
      <x:c r="C22" s="21" t="str"/>
      <x:c r="D22" s="21" t="str"/>
      <x:c r="E22" s="21" t="str"/>
      <x:c r="F22" s="21" t="str"/>
      <x:c r="G22" t="str">
        <x:v>Assumption.</x:v>
      </x:c>
      <x:c r="H22" t="str">
        <x:v>DCF</x:v>
      </x:c>
      <x:c r="I22" t="str">
        <x:v>Assumption</x:v>
      </x:c>
    </x:row>
    <x:row r="23">
      <x:c r="A23" t="str">
        <x:v>Diluted shares for valuation</x:v>
      </x:c>
      <x:c r="B23" s="28" t="n">
        <x:v>2565.197</x:v>
      </x:c>
      <x:c r="C23" s="21" t="str"/>
      <x:c r="D23" s="21" t="str"/>
      <x:c r="E23" s="21" t="str"/>
      <x:c r="F23" s="21" t="str"/>
      <x:c r="G23" t="str">
        <x:v>FY2025 diluted shares from 10-K, in millions.</x:v>
      </x:c>
      <x:c r="H23" t="str">
        <x:v>Equity bridge</x:v>
      </x:c>
      <x:c r="I23" t="str">
        <x:v>Historical actual base</x:v>
      </x:c>
    </x:row>
    <x:row r="24">
      <x:c r="A24" t="str">
        <x:v>Cash + marketable securities</x:v>
      </x:c>
      <x:c r="B24" s="28" t="n">
        <x:v>7177.043</x:v>
      </x:c>
      <x:c r="C24" s="21" t="str"/>
      <x:c r="D24" s="21" t="str"/>
      <x:c r="E24" s="21" t="str"/>
      <x:c r="F24" s="21" t="str"/>
      <x:c r="G24" t="str">
        <x:v>FY2025 cash + marketable securities from 10-K.</x:v>
      </x:c>
      <x:c r="H24" t="str">
        <x:v>Equity bridge</x:v>
      </x:c>
      <x:c r="I24" t="str">
        <x:v>Historical actual</x:v>
      </x:c>
    </x:row>
    <x:row r="25">
      <x:c r="A25" t="str">
        <x:v>Debt</x:v>
      </x:c>
      <x:c r="B25" s="28" t="n">
        <x:v>0</x:v>
      </x:c>
      <x:c r="C25" s="21" t="str"/>
      <x:c r="D25" s="21" t="str"/>
      <x:c r="E25" s="21" t="str"/>
      <x:c r="F25" s="21" t="str"/>
      <x:c r="G25" t="str">
        <x:v>FY2025 10-K notes no outstanding debt under credit facility.</x:v>
      </x:c>
      <x:c r="H25" t="str">
        <x:v>Equity bridge</x:v>
      </x:c>
      <x:c r="I25" t="str">
        <x:v>Historical actual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7.25" hidden="0" customWidth="1"/>
    <x:col min="3" max="3" width="7.25" hidden="0" customWidth="1"/>
    <x:col min="4" max="4" width="7.25" hidden="0" customWidth="1"/>
    <x:col min="5" max="5" width="30" hidden="0" customWidth="1"/>
    <x:col min="6" max="6" width="10.75" hidden="0" customWidth="1"/>
    <x:col min="7" max="7" width="5" hidden="0" customWidth="1"/>
  </x:cols>
  <x:sheetData>
    <x:row r="1">
      <x:c r="A1" s="4" t="str">
        <x:v>Palantir Historical Actuals — EDGAR / 10-K Tied</x:v>
      </x:c>
      <x:c r="B1" s="32" t="str"/>
      <x:c r="C1" s="32" t="str"/>
      <x:c r="D1" s="32" t="str"/>
      <x:c r="E1" t="str"/>
      <x:c r="F1" t="str"/>
      <x:c r="G1" t="str"/>
    </x:row>
    <x:row r="3">
      <x:c r="A3" s="18" t="str">
        <x:v>$mm except per share / shares</x:v>
      </x:c>
      <x:c r="B3" s="18" t="str">
        <x:v>2023A</x:v>
      </x:c>
      <x:c r="C3" s="18" t="str">
        <x:v>2024A</x:v>
      </x:c>
      <x:c r="D3" s="18" t="str">
        <x:v>2025A</x:v>
      </x:c>
      <x:c r="E3" s="18" t="str">
        <x:v>Source</x:v>
      </x:c>
      <x:c r="F3" s="18" t="str">
        <x:v>Tie-out check</x:v>
      </x:c>
      <x:c r="G3" s="18" t="str">
        <x:v>Notes</x:v>
      </x:c>
    </x:row>
    <x:row r="4">
      <x:c r="A4" s="14" t="str">
        <x:v>Income Statement</x:v>
      </x:c>
      <x:c r="B4" s="30" t="str"/>
      <x:c r="C4" s="30" t="str"/>
      <x:c r="D4" s="30" t="str"/>
      <x:c r="E4" t="str"/>
      <x:c r="F4" t="str"/>
      <x:c r="G4" t="str"/>
    </x:row>
    <x:row r="5">
      <x:c r="A5" t="str">
        <x:v>Revenue</x:v>
      </x:c>
      <x:c r="B5" s="30" t="n">
        <x:v>2225.012</x:v>
      </x:c>
      <x:c r="C5" s="30" t="n">
        <x:v>2865.507</x:v>
      </x:c>
      <x:c r="D5" s="30" t="n">
        <x:v>4475.446</x:v>
      </x:c>
      <x:c r="E5" t="str">
        <x:v>FY2025 10-K / FY2024 10-K</x:v>
      </x:c>
      <x:c r="F5" t="str">
        <x:f>IF(AND(ISNUMBER(B5),ISNUMBER(C5),ISNUMBER(D5)),"PASS","CHECK")</x:f>
        <x:v>PASS</x:v>
      </x:c>
      <x:c r="G5" t="str"/>
    </x:row>
    <x:row r="6">
      <x:c r="A6" t="str">
        <x:v>Cost of revenue</x:v>
      </x:c>
      <x:c r="B6" s="30" t="n">
        <x:v>431.105</x:v>
      </x:c>
      <x:c r="C6" s="30" t="n">
        <x:v>565.99</x:v>
      </x:c>
      <x:c r="D6" s="30" t="n">
        <x:v>789.177</x:v>
      </x:c>
      <x:c r="E6" t="str">
        <x:v>FY2025 10-K / FY2024 10-K</x:v>
      </x:c>
      <x:c r="F6" t="str">
        <x:f>IF(AND(ISNUMBER(B6),ISNUMBER(C6),ISNUMBER(D6)),"PASS","CHECK")</x:f>
        <x:v>PASS</x:v>
      </x:c>
      <x:c r="G6" t="str"/>
    </x:row>
    <x:row r="7">
      <x:c r="A7" t="str">
        <x:v>Gross profit</x:v>
      </x:c>
      <x:c r="B7" s="30" t="n">
        <x:v>1793.907</x:v>
      </x:c>
      <x:c r="C7" s="30" t="n">
        <x:v>2299.517</x:v>
      </x:c>
      <x:c r="D7" s="30" t="n">
        <x:v>3686.269</x:v>
      </x:c>
      <x:c r="E7" t="str">
        <x:v>FY2025 10-K / FY2024 10-K</x:v>
      </x:c>
      <x:c r="F7" t="str">
        <x:f>IF(AND(ISNUMBER(B7),ISNUMBER(C7),ISNUMBER(D7)),"PASS","CHECK")</x:f>
        <x:v>PASS</x:v>
      </x:c>
      <x:c r="G7" t="str"/>
    </x:row>
    <x:row r="8">
      <x:c r="A8" t="str">
        <x:v>Sales and marketing</x:v>
      </x:c>
      <x:c r="B8" s="30" t="n">
        <x:v>744.992</x:v>
      </x:c>
      <x:c r="C8" s="30" t="n">
        <x:v>887.755</x:v>
      </x:c>
      <x:c r="D8" s="30" t="n">
        <x:v>1056.859</x:v>
      </x:c>
      <x:c r="E8" t="str">
        <x:v>FY2025 10-K / FY2024 10-K</x:v>
      </x:c>
      <x:c r="F8" t="str">
        <x:f>IF(AND(ISNUMBER(B8),ISNUMBER(C8),ISNUMBER(D8)),"PASS","CHECK")</x:f>
        <x:v>PASS</x:v>
      </x:c>
      <x:c r="G8" t="str"/>
    </x:row>
    <x:row r="9">
      <x:c r="A9" t="str">
        <x:v>Research and development</x:v>
      </x:c>
      <x:c r="B9" s="30" t="n">
        <x:v>404.624</x:v>
      </x:c>
      <x:c r="C9" s="30" t="n">
        <x:v>507.878</x:v>
      </x:c>
      <x:c r="D9" s="30" t="n">
        <x:v>557.677</x:v>
      </x:c>
      <x:c r="E9" t="str">
        <x:v>FY2025 10-K / FY2024 10-K</x:v>
      </x:c>
      <x:c r="F9" t="str">
        <x:f>IF(AND(ISNUMBER(B9),ISNUMBER(C9),ISNUMBER(D9)),"PASS","CHECK")</x:f>
        <x:v>PASS</x:v>
      </x:c>
      <x:c r="G9" t="str"/>
    </x:row>
    <x:row r="10">
      <x:c r="A10" t="str">
        <x:v>General and administrative</x:v>
      </x:c>
      <x:c r="B10" s="30" t="n">
        <x:v>524.325</x:v>
      </x:c>
      <x:c r="C10" s="30" t="n">
        <x:v>593.481</x:v>
      </x:c>
      <x:c r="D10" s="30" t="n">
        <x:v>657.718</x:v>
      </x:c>
      <x:c r="E10" t="str">
        <x:v>FY2025 10-K / FY2024 10-K</x:v>
      </x:c>
      <x:c r="F10" t="str">
        <x:f>IF(AND(ISNUMBER(B10),ISNUMBER(C10),ISNUMBER(D10)),"PASS","CHECK")</x:f>
        <x:v>PASS</x:v>
      </x:c>
      <x:c r="G10" t="str"/>
    </x:row>
    <x:row r="11">
      <x:c r="A11" t="str">
        <x:v>Total operating expenses</x:v>
      </x:c>
      <x:c r="B11" s="30" t="n">
        <x:v>1673.941</x:v>
      </x:c>
      <x:c r="C11" s="30" t="n">
        <x:v>1989.114</x:v>
      </x:c>
      <x:c r="D11" s="30" t="n">
        <x:v>2272.254</x:v>
      </x:c>
      <x:c r="E11" t="str">
        <x:v>FY2025 10-K / FY2024 10-K</x:v>
      </x:c>
      <x:c r="F11" t="str">
        <x:f>IF(AND(ISNUMBER(B11),ISNUMBER(C11),ISNUMBER(D11)),"PASS","CHECK")</x:f>
        <x:v>PASS</x:v>
      </x:c>
      <x:c r="G11" t="str"/>
    </x:row>
    <x:row r="12">
      <x:c r="A12" t="str">
        <x:v>Income from operations</x:v>
      </x:c>
      <x:c r="B12" s="30" t="n">
        <x:v>119.966</x:v>
      </x:c>
      <x:c r="C12" s="30" t="n">
        <x:v>310.403</x:v>
      </x:c>
      <x:c r="D12" s="30" t="n">
        <x:v>1414.015</x:v>
      </x:c>
      <x:c r="E12" t="str">
        <x:v>FY2025 10-K / FY2024 10-K</x:v>
      </x:c>
      <x:c r="F12" t="str">
        <x:f>IF(AND(ISNUMBER(B12),ISNUMBER(C12),ISNUMBER(D12)),"PASS","CHECK")</x:f>
        <x:v>PASS</x:v>
      </x:c>
      <x:c r="G12" t="str"/>
    </x:row>
    <x:row r="13">
      <x:c r="A13" t="str">
        <x:v>Interest income</x:v>
      </x:c>
      <x:c r="B13" s="30" t="n">
        <x:v>132.572</x:v>
      </x:c>
      <x:c r="C13" s="30" t="n">
        <x:v>196.792</x:v>
      </x:c>
      <x:c r="D13" s="30" t="n">
        <x:v>229.181</x:v>
      </x:c>
      <x:c r="E13" t="str">
        <x:v>FY2025 10-K / FY2024 10-K</x:v>
      </x:c>
      <x:c r="F13" t="str">
        <x:f>IF(AND(ISNUMBER(B13),ISNUMBER(C13),ISNUMBER(D13)),"PASS","CHECK")</x:f>
        <x:v>PASS</x:v>
      </x:c>
      <x:c r="G13" t="str"/>
    </x:row>
    <x:row r="14">
      <x:c r="A14" t="str">
        <x:v>Other income / (expense), net</x:v>
      </x:c>
      <x:c r="B14" s="30" t="n">
        <x:v>-15.447</x:v>
      </x:c>
      <x:c r="C14" s="30" t="n">
        <x:v>-18.022</x:v>
      </x:c>
      <x:c r="D14" s="30" t="n">
        <x:v>14.172</x:v>
      </x:c>
      <x:c r="E14" t="str">
        <x:v>FY2025 10-K / FY2024 10-K</x:v>
      </x:c>
      <x:c r="F14" t="str">
        <x:f>IF(AND(ISNUMBER(B14),ISNUMBER(C14),ISNUMBER(D14)),"PASS","CHECK")</x:f>
        <x:v>PASS</x:v>
      </x:c>
      <x:c r="G14" t="str"/>
    </x:row>
    <x:row r="15">
      <x:c r="A15" t="str">
        <x:v>Income before taxes</x:v>
      </x:c>
      <x:c r="B15" s="30" t="n">
        <x:v>237.091</x:v>
      </x:c>
      <x:c r="C15" s="30" t="n">
        <x:v>489.173</x:v>
      </x:c>
      <x:c r="D15" s="30" t="n">
        <x:v>1657.368</x:v>
      </x:c>
      <x:c r="E15" t="str">
        <x:v>FY2025 10-K / FY2024 10-K</x:v>
      </x:c>
      <x:c r="F15" t="str">
        <x:f>IF(AND(ISNUMBER(B15),ISNUMBER(C15),ISNUMBER(D15)),"PASS","CHECK")</x:f>
        <x:v>PASS</x:v>
      </x:c>
      <x:c r="G15" t="str"/>
    </x:row>
    <x:row r="16">
      <x:c r="A16" t="str">
        <x:v>Provision for income taxes</x:v>
      </x:c>
      <x:c r="B16" s="30" t="n">
        <x:v>19.716</x:v>
      </x:c>
      <x:c r="C16" s="30" t="n">
        <x:v>21.255</x:v>
      </x:c>
      <x:c r="D16" s="30" t="n">
        <x:v>22.724</x:v>
      </x:c>
      <x:c r="E16" t="str">
        <x:v>FY2025 10-K / FY2024 10-K</x:v>
      </x:c>
      <x:c r="F16" t="str">
        <x:f>IF(AND(ISNUMBER(B16),ISNUMBER(C16),ISNUMBER(D16)),"PASS","CHECK")</x:f>
        <x:v>PASS</x:v>
      </x:c>
      <x:c r="G16" t="str"/>
    </x:row>
    <x:row r="17">
      <x:c r="A17" t="str">
        <x:v>Net income</x:v>
      </x:c>
      <x:c r="B17" s="30" t="n">
        <x:v>217.375</x:v>
      </x:c>
      <x:c r="C17" s="30" t="n">
        <x:v>467.918</x:v>
      </x:c>
      <x:c r="D17" s="30" t="n">
        <x:v>1634.644</x:v>
      </x:c>
      <x:c r="E17" t="str">
        <x:v>FY2025 10-K / FY2024 10-K</x:v>
      </x:c>
      <x:c r="F17" t="str">
        <x:f>IF(AND(ISNUMBER(B17),ISNUMBER(C17),ISNUMBER(D17)),"PASS","CHECK")</x:f>
        <x:v>PASS</x:v>
      </x:c>
      <x:c r="G17" t="str"/>
    </x:row>
    <x:row r="18">
      <x:c r="A18" t="str">
        <x:v>Less: NCI net income</x:v>
      </x:c>
      <x:c r="B18" s="30" t="n">
        <x:v>7.55</x:v>
      </x:c>
      <x:c r="C18" s="30" t="n">
        <x:v>5.728</x:v>
      </x:c>
      <x:c r="D18" s="30" t="n">
        <x:v>9.611</x:v>
      </x:c>
      <x:c r="E18" t="str">
        <x:v>FY2025 10-K / FY2024 10-K</x:v>
      </x:c>
      <x:c r="F18" t="str">
        <x:f>IF(AND(ISNUMBER(B18),ISNUMBER(C18),ISNUMBER(D18)),"PASS","CHECK")</x:f>
        <x:v>PASS</x:v>
      </x:c>
      <x:c r="G18" t="str"/>
    </x:row>
    <x:row r="19">
      <x:c r="A19" t="str">
        <x:v>Net income attributable</x:v>
      </x:c>
      <x:c r="B19" s="30" t="n">
        <x:v>209.825</x:v>
      </x:c>
      <x:c r="C19" s="30" t="n">
        <x:v>462.19</x:v>
      </x:c>
      <x:c r="D19" s="30" t="n">
        <x:v>1625.033</x:v>
      </x:c>
      <x:c r="E19" t="str">
        <x:v>FY2025 10-K / FY2024 10-K</x:v>
      </x:c>
      <x:c r="F19" t="str">
        <x:f>IF(AND(ISNUMBER(B19),ISNUMBER(C19),ISNUMBER(D19)),"PASS","CHECK")</x:f>
        <x:v>PASS</x:v>
      </x:c>
      <x:c r="G19" t="str"/>
    </x:row>
    <x:row r="20">
      <x:c r="A20" t="str">
        <x:v>Diluted shares</x:v>
      </x:c>
      <x:c r="B20" s="30" t="n">
        <x:v>2297.927</x:v>
      </x:c>
      <x:c r="C20" s="30" t="n">
        <x:v>2450.818</x:v>
      </x:c>
      <x:c r="D20" s="30" t="n">
        <x:v>2565.197</x:v>
      </x:c>
      <x:c r="E20" t="str">
        <x:v>FY2025 10-K / FY2024 10-K</x:v>
      </x:c>
      <x:c r="F20" t="str">
        <x:f>IF(AND(ISNUMBER(B20),ISNUMBER(C20),ISNUMBER(D20)),"PASS","CHECK")</x:f>
        <x:v>PASS</x:v>
      </x:c>
      <x:c r="G20" t="str"/>
    </x:row>
    <x:row r="21">
      <x:c r="A21" s="14" t="str">
        <x:v>Balance Sheet</x:v>
      </x:c>
      <x:c r="B21" s="30" t="str"/>
      <x:c r="C21" s="30" t="str"/>
      <x:c r="D21" s="30" t="str"/>
      <x:c r="E21" t="str"/>
      <x:c r="F21" t="str"/>
      <x:c r="G21" t="str"/>
    </x:row>
    <x:row r="22">
      <x:c r="A22" t="str">
        <x:v>Cash and cash equivalents</x:v>
      </x:c>
      <x:c r="B22" s="30" t="n">
        <x:v>831.047</x:v>
      </x:c>
      <x:c r="C22" s="30" t="n">
        <x:v>2098.524</x:v>
      </x:c>
      <x:c r="D22" s="30" t="n">
        <x:v>1423.796</x:v>
      </x:c>
      <x:c r="E22" t="str">
        <x:v>FY2025 10-K / FY2024 10-K</x:v>
      </x:c>
      <x:c r="F22" t="str">
        <x:f>IF(AND(ISNUMBER(B22),ISNUMBER(C22),ISNUMBER(D22)),"PASS","CHECK")</x:f>
        <x:v>PASS</x:v>
      </x:c>
      <x:c r="G22" t="str"/>
    </x:row>
    <x:row r="23">
      <x:c r="A23" t="str">
        <x:v>Marketable securities</x:v>
      </x:c>
      <x:c r="B23" s="30" t="n">
        <x:v>2843.132</x:v>
      </x:c>
      <x:c r="C23" s="30" t="n">
        <x:v>3131.463</x:v>
      </x:c>
      <x:c r="D23" s="30" t="n">
        <x:v>5753.247</x:v>
      </x:c>
      <x:c r="E23" t="str">
        <x:v>FY2025 10-K / FY2024 10-K</x:v>
      </x:c>
      <x:c r="F23" t="str">
        <x:f>IF(AND(ISNUMBER(B23),ISNUMBER(C23),ISNUMBER(D23)),"PASS","CHECK")</x:f>
        <x:v>PASS</x:v>
      </x:c>
      <x:c r="G23" t="str"/>
    </x:row>
    <x:row r="24">
      <x:c r="A24" t="str">
        <x:v>Accounts receivable</x:v>
      </x:c>
      <x:c r="B24" s="30" t="n">
        <x:v>364.784</x:v>
      </x:c>
      <x:c r="C24" s="30" t="n">
        <x:v>575.048</x:v>
      </x:c>
      <x:c r="D24" s="30" t="n">
        <x:v>1042.065</x:v>
      </x:c>
      <x:c r="E24" t="str">
        <x:v>FY2025 10-K / FY2024 10-K</x:v>
      </x:c>
      <x:c r="F24" t="str">
        <x:f>IF(AND(ISNUMBER(B24),ISNUMBER(C24),ISNUMBER(D24)),"PASS","CHECK")</x:f>
        <x:v>PASS</x:v>
      </x:c>
      <x:c r="G24" t="str"/>
    </x:row>
    <x:row r="25">
      <x:c r="A25" t="str">
        <x:v>Prepaids &amp; other current assets</x:v>
      </x:c>
      <x:c r="B25" s="30" t="n">
        <x:v>99.655</x:v>
      </x:c>
      <x:c r="C25" s="30" t="n">
        <x:v>129.254</x:v>
      </x:c>
      <x:c r="D25" s="30" t="n">
        <x:v>139.066</x:v>
      </x:c>
      <x:c r="E25" t="str">
        <x:v>FY2025 10-K / FY2024 10-K</x:v>
      </x:c>
      <x:c r="F25" t="str">
        <x:f>IF(AND(ISNUMBER(B25),ISNUMBER(C25),ISNUMBER(D25)),"PASS","CHECK")</x:f>
        <x:v>PASS</x:v>
      </x:c>
      <x:c r="G25" t="str"/>
    </x:row>
    <x:row r="26">
      <x:c r="A26" t="str">
        <x:v>Total current assets</x:v>
      </x:c>
      <x:c r="B26" s="30" t="n">
        <x:v>4138.618</x:v>
      </x:c>
      <x:c r="C26" s="30" t="n">
        <x:v>5934.289</x:v>
      </x:c>
      <x:c r="D26" s="30" t="n">
        <x:v>8358.174</x:v>
      </x:c>
      <x:c r="E26" t="str">
        <x:v>FY2025 10-K / FY2024 10-K</x:v>
      </x:c>
      <x:c r="F26" t="str">
        <x:f>IF(AND(ISNUMBER(B26),ISNUMBER(C26),ISNUMBER(D26)),"PASS","CHECK")</x:f>
        <x:v>PASS</x:v>
      </x:c>
      <x:c r="G26" t="str"/>
    </x:row>
    <x:row r="27">
      <x:c r="A27" t="str">
        <x:v>Property and equipment, net</x:v>
      </x:c>
      <x:c r="B27" s="30" t="n">
        <x:v>47.758</x:v>
      </x:c>
      <x:c r="C27" s="30" t="n">
        <x:v>39.638</x:v>
      </x:c>
      <x:c r="D27" s="30" t="n">
        <x:v>51.96</x:v>
      </x:c>
      <x:c r="E27" t="str">
        <x:v>FY2025 10-K / FY2024 10-K</x:v>
      </x:c>
      <x:c r="F27" t="str">
        <x:f>IF(AND(ISNUMBER(B27),ISNUMBER(C27),ISNUMBER(D27)),"PASS","CHECK")</x:f>
        <x:v>PASS</x:v>
      </x:c>
      <x:c r="G27" t="str"/>
    </x:row>
    <x:row r="28">
      <x:c r="A28" t="str">
        <x:v>Operating lease ROU assets</x:v>
      </x:c>
      <x:c r="B28" s="30" t="n">
        <x:v>182.863</x:v>
      </x:c>
      <x:c r="C28" s="30" t="n">
        <x:v>200.74</x:v>
      </x:c>
      <x:c r="D28" s="30" t="n">
        <x:v>200.105</x:v>
      </x:c>
      <x:c r="E28" t="str">
        <x:v>FY2025 10-K / FY2024 10-K</x:v>
      </x:c>
      <x:c r="F28" t="str">
        <x:f>IF(AND(ISNUMBER(B28),ISNUMBER(C28),ISNUMBER(D28)),"PASS","CHECK")</x:f>
        <x:v>PASS</x:v>
      </x:c>
      <x:c r="G28" t="str"/>
    </x:row>
    <x:row r="29">
      <x:c r="A29" t="str">
        <x:v>Other assets</x:v>
      </x:c>
      <x:c r="B29" s="30" t="n">
        <x:v>153.186</x:v>
      </x:c>
      <x:c r="C29" s="30" t="n">
        <x:v>166.217</x:v>
      </x:c>
      <x:c r="D29" s="30" t="n">
        <x:v>290.153</x:v>
      </x:c>
      <x:c r="E29" t="str">
        <x:v>FY2025 10-K / FY2024 10-K</x:v>
      </x:c>
      <x:c r="F29" t="str">
        <x:f>IF(AND(ISNUMBER(B29),ISNUMBER(C29),ISNUMBER(D29)),"PASS","CHECK")</x:f>
        <x:v>PASS</x:v>
      </x:c>
      <x:c r="G29" t="str"/>
    </x:row>
    <x:row r="30">
      <x:c r="A30" t="str">
        <x:v>Total assets</x:v>
      </x:c>
      <x:c r="B30" s="30" t="n">
        <x:v>4522.425</x:v>
      </x:c>
      <x:c r="C30" s="30" t="n">
        <x:v>6340.884</x:v>
      </x:c>
      <x:c r="D30" s="30" t="n">
        <x:v>8900.392</x:v>
      </x:c>
      <x:c r="E30" t="str">
        <x:v>FY2025 10-K / FY2024 10-K</x:v>
      </x:c>
      <x:c r="F30" t="str">
        <x:f>IF(AND(ISNUMBER(B30),ISNUMBER(C30),ISNUMBER(D30)),"PASS","CHECK")</x:f>
        <x:v>PASS</x:v>
      </x:c>
      <x:c r="G30" t="str"/>
    </x:row>
    <x:row r="31">
      <x:c r="A31" t="str">
        <x:v>Accounts payable</x:v>
      </x:c>
      <x:c r="B31" s="30" t="n">
        <x:v>12.122</x:v>
      </x:c>
      <x:c r="C31" s="30" t="n">
        <x:v>0.103</x:v>
      </x:c>
      <x:c r="D31" s="30" t="n">
        <x:v>8.064</x:v>
      </x:c>
      <x:c r="E31" t="str">
        <x:v>FY2025 10-K / FY2024 10-K</x:v>
      </x:c>
      <x:c r="F31" t="str">
        <x:f>IF(AND(ISNUMBER(B31),ISNUMBER(C31),ISNUMBER(D31)),"PASS","CHECK")</x:f>
        <x:v>PASS</x:v>
      </x:c>
      <x:c r="G31" t="str"/>
    </x:row>
    <x:row r="32">
      <x:c r="A32" t="str">
        <x:v>Accrued liabilities</x:v>
      </x:c>
      <x:c r="B32" s="30" t="n">
        <x:v>222.991</x:v>
      </x:c>
      <x:c r="C32" s="30" t="n">
        <x:v>427.046</x:v>
      </x:c>
      <x:c r="D32" s="30" t="n">
        <x:v>355.624</x:v>
      </x:c>
      <x:c r="E32" t="str">
        <x:v>FY2025 10-K / FY2024 10-K</x:v>
      </x:c>
      <x:c r="F32" t="str">
        <x:f>IF(AND(ISNUMBER(B32),ISNUMBER(C32),ISNUMBER(D32)),"PASS","CHECK")</x:f>
        <x:v>PASS</x:v>
      </x:c>
      <x:c r="G32" t="str"/>
    </x:row>
    <x:row r="33">
      <x:c r="A33" t="str">
        <x:v>Deferred revenue</x:v>
      </x:c>
      <x:c r="B33" s="30" t="n">
        <x:v>246.901</x:v>
      </x:c>
      <x:c r="C33" s="30" t="n">
        <x:v>259.624</x:v>
      </x:c>
      <x:c r="D33" s="30" t="n">
        <x:v>408.963</x:v>
      </x:c>
      <x:c r="E33" t="str">
        <x:v>FY2025 10-K / FY2024 10-K</x:v>
      </x:c>
      <x:c r="F33" t="str">
        <x:f>IF(AND(ISNUMBER(B33),ISNUMBER(C33),ISNUMBER(D33)),"PASS","CHECK")</x:f>
        <x:v>PASS</x:v>
      </x:c>
      <x:c r="G33" t="str"/>
    </x:row>
    <x:row r="34">
      <x:c r="A34" t="str">
        <x:v>Customer deposits</x:v>
      </x:c>
      <x:c r="B34" s="30" t="n">
        <x:v>209.828</x:v>
      </x:c>
      <x:c r="C34" s="30" t="n">
        <x:v>265.252</x:v>
      </x:c>
      <x:c r="D34" s="30" t="n">
        <x:v>357.066</x:v>
      </x:c>
      <x:c r="E34" t="str">
        <x:v>FY2025 10-K / FY2024 10-K</x:v>
      </x:c>
      <x:c r="F34" t="str">
        <x:f>IF(AND(ISNUMBER(B34),ISNUMBER(C34),ISNUMBER(D34)),"PASS","CHECK")</x:f>
        <x:v>PASS</x:v>
      </x:c>
      <x:c r="G34" t="str"/>
    </x:row>
    <x:row r="35">
      <x:c r="A35" t="str">
        <x:v>Operating lease liabilities - current</x:v>
      </x:c>
      <x:c r="B35" s="30" t="n">
        <x:v>54.176</x:v>
      </x:c>
      <x:c r="C35" s="30" t="n">
        <x:v>43.993</x:v>
      </x:c>
      <x:c r="D35" s="30" t="n">
        <x:v>45.864</x:v>
      </x:c>
      <x:c r="E35" t="str">
        <x:v>FY2025 10-K / FY2024 10-K</x:v>
      </x:c>
      <x:c r="F35" t="str">
        <x:f>IF(AND(ISNUMBER(B35),ISNUMBER(C35),ISNUMBER(D35)),"PASS","CHECK")</x:f>
        <x:v>PASS</x:v>
      </x:c>
      <x:c r="G35" t="str"/>
    </x:row>
    <x:row r="36">
      <x:c r="A36" t="str">
        <x:v>Total current liabilities</x:v>
      </x:c>
      <x:c r="B36" s="30" t="n">
        <x:v>746.018</x:v>
      </x:c>
      <x:c r="C36" s="30" t="n">
        <x:v>996.018</x:v>
      </x:c>
      <x:c r="D36" s="30" t="n">
        <x:v>1175.581</x:v>
      </x:c>
      <x:c r="E36" t="str">
        <x:v>FY2025 10-K / FY2024 10-K</x:v>
      </x:c>
      <x:c r="F36" t="str">
        <x:f>IF(AND(ISNUMBER(B36),ISNUMBER(C36),ISNUMBER(D36)),"PASS","CHECK")</x:f>
        <x:v>PASS</x:v>
      </x:c>
      <x:c r="G36" t="str"/>
    </x:row>
    <x:row r="37">
      <x:c r="A37" t="str">
        <x:v>Deferred revenue, noncurrent</x:v>
      </x:c>
      <x:c r="B37" s="30" t="n">
        <x:v>28.047</x:v>
      </x:c>
      <x:c r="C37" s="30" t="n">
        <x:v>39.885</x:v>
      </x:c>
      <x:c r="D37" s="30" t="n">
        <x:v>46.216</x:v>
      </x:c>
      <x:c r="E37" t="str">
        <x:v>FY2025 10-K / FY2024 10-K</x:v>
      </x:c>
      <x:c r="F37" t="str">
        <x:f>IF(AND(ISNUMBER(B37),ISNUMBER(C37),ISNUMBER(D37)),"PASS","CHECK")</x:f>
        <x:v>PASS</x:v>
      </x:c>
      <x:c r="G37" t="str"/>
    </x:row>
    <x:row r="38">
      <x:c r="A38" t="str">
        <x:v>Customer deposits, noncurrent</x:v>
      </x:c>
      <x:c r="B38" s="30" t="n">
        <x:v>1.477</x:v>
      </x:c>
      <x:c r="C38" s="30" t="n">
        <x:v>1.663</x:v>
      </x:c>
      <x:c r="D38" s="30" t="n">
        <x:v>0.018</x:v>
      </x:c>
      <x:c r="E38" t="str">
        <x:v>FY2025 10-K / FY2024 10-K</x:v>
      </x:c>
      <x:c r="F38" t="str">
        <x:f>IF(AND(ISNUMBER(B38),ISNUMBER(C38),ISNUMBER(D38)),"PASS","CHECK")</x:f>
        <x:v>PASS</x:v>
      </x:c>
      <x:c r="G38" t="str"/>
    </x:row>
    <x:row r="39">
      <x:c r="A39" t="str">
        <x:v>Operating lease liabilities, noncurrent</x:v>
      </x:c>
      <x:c r="B39" s="30" t="n">
        <x:v>175.216</x:v>
      </x:c>
      <x:c r="C39" s="30" t="n">
        <x:v>195.226</x:v>
      </x:c>
      <x:c r="D39" s="30" t="n">
        <x:v>183.474</x:v>
      </x:c>
      <x:c r="E39" t="str">
        <x:v>FY2025 10-K / FY2024 10-K</x:v>
      </x:c>
      <x:c r="F39" t="str">
        <x:f>IF(AND(ISNUMBER(B39),ISNUMBER(C39),ISNUMBER(D39)),"PASS","CHECK")</x:f>
        <x:v>PASS</x:v>
      </x:c>
      <x:c r="G39" t="str"/>
    </x:row>
    <x:row r="40">
      <x:c r="A40" t="str">
        <x:v>Other noncurrent liabilities</x:v>
      </x:c>
      <x:c r="B40" s="30" t="n">
        <x:v>10.702</x:v>
      </x:c>
      <x:c r="C40" s="30" t="n">
        <x:v>13.685</x:v>
      </x:c>
      <x:c r="D40" s="30" t="n">
        <x:v>7.092</x:v>
      </x:c>
      <x:c r="E40" t="str">
        <x:v>FY2025 10-K / FY2024 10-K</x:v>
      </x:c>
      <x:c r="F40" t="str">
        <x:f>IF(AND(ISNUMBER(B40),ISNUMBER(C40),ISNUMBER(D40)),"PASS","CHECK")</x:f>
        <x:v>PASS</x:v>
      </x:c>
      <x:c r="G40" t="str"/>
    </x:row>
    <x:row r="41">
      <x:c r="A41" t="str">
        <x:v>Total liabilities</x:v>
      </x:c>
      <x:c r="B41" s="30" t="n">
        <x:v>961.46</x:v>
      </x:c>
      <x:c r="C41" s="30" t="n">
        <x:v>1246.477</x:v>
      </x:c>
      <x:c r="D41" s="30" t="n">
        <x:v>1412.381</x:v>
      </x:c>
      <x:c r="E41" t="str">
        <x:v>FY2025 10-K / FY2024 10-K</x:v>
      </x:c>
      <x:c r="F41" t="str">
        <x:f>IF(AND(ISNUMBER(B41),ISNUMBER(C41),ISNUMBER(D41)),"PASS","CHECK")</x:f>
        <x:v>PASS</x:v>
      </x:c>
      <x:c r="G41" t="str"/>
    </x:row>
    <x:row r="42">
      <x:c r="A42" t="str">
        <x:v>Common stock</x:v>
      </x:c>
      <x:c r="B42" s="30" t="n">
        <x:v>2.2</x:v>
      </x:c>
      <x:c r="C42" s="30" t="n">
        <x:v>2.339</x:v>
      </x:c>
      <x:c r="D42" s="30" t="n">
        <x:v>2.391</x:v>
      </x:c>
      <x:c r="E42" t="str">
        <x:v>FY2025 10-K / FY2024 10-K</x:v>
      </x:c>
      <x:c r="F42" t="str">
        <x:f>IF(AND(ISNUMBER(B42),ISNUMBER(C42),ISNUMBER(D42)),"PASS","CHECK")</x:f>
        <x:v>PASS</x:v>
      </x:c>
      <x:c r="G42" t="str"/>
    </x:row>
    <x:row r="43">
      <x:c r="A43" t="str">
        <x:v>Additional paid-in capital</x:v>
      </x:c>
      <x:c r="B43" s="30" t="n">
        <x:v>9122.173</x:v>
      </x:c>
      <x:c r="C43" s="30" t="n">
        <x:v>10193.97</x:v>
      </x:c>
      <x:c r="D43" s="30" t="n">
        <x:v>10933.325</x:v>
      </x:c>
      <x:c r="E43" t="str">
        <x:v>FY2025 10-K / FY2024 10-K</x:v>
      </x:c>
      <x:c r="F43" t="str">
        <x:f>IF(AND(ISNUMBER(B43),ISNUMBER(C43),ISNUMBER(D43)),"PASS","CHECK")</x:f>
        <x:v>PASS</x:v>
      </x:c>
      <x:c r="G43" t="str"/>
    </x:row>
    <x:row r="44">
      <x:c r="A44" t="str">
        <x:v>AOCI / (loss), net</x:v>
      </x:c>
      <x:c r="B44" s="30" t="n">
        <x:v>0.801</x:v>
      </x:c>
      <x:c r="C44" s="30" t="n">
        <x:v>-5.611</x:v>
      </x:c>
      <x:c r="D44" s="30" t="n">
        <x:v>13.942</x:v>
      </x:c>
      <x:c r="E44" t="str">
        <x:v>FY2025 10-K / FY2024 10-K</x:v>
      </x:c>
      <x:c r="F44" t="str">
        <x:f>IF(AND(ISNUMBER(B44),ISNUMBER(C44),ISNUMBER(D44)),"PASS","CHECK")</x:f>
        <x:v>PASS</x:v>
      </x:c>
      <x:c r="G44" t="str"/>
    </x:row>
    <x:row r="45">
      <x:c r="A45" t="str">
        <x:v>Accumulated deficit</x:v>
      </x:c>
      <x:c r="B45" s="30" t="n">
        <x:v>-5649.613</x:v>
      </x:c>
      <x:c r="C45" s="30" t="n">
        <x:v>-5187.423</x:v>
      </x:c>
      <x:c r="D45" s="30" t="n">
        <x:v>-3562.39</x:v>
      </x:c>
      <x:c r="E45" t="str">
        <x:v>FY2025 10-K / FY2024 10-K</x:v>
      </x:c>
      <x:c r="F45" t="str">
        <x:f>IF(AND(ISNUMBER(B45),ISNUMBER(C45),ISNUMBER(D45)),"PASS","CHECK")</x:f>
        <x:v>PASS</x:v>
      </x:c>
      <x:c r="G45" t="str"/>
    </x:row>
    <x:row r="46">
      <x:c r="A46" t="str">
        <x:v>Total Palantir stockholders equity</x:v>
      </x:c>
      <x:c r="B46" s="30" t="n">
        <x:v>3475.561</x:v>
      </x:c>
      <x:c r="C46" s="30" t="n">
        <x:v>5003.275</x:v>
      </x:c>
      <x:c r="D46" s="30" t="n">
        <x:v>7387.268</x:v>
      </x:c>
      <x:c r="E46" t="str">
        <x:v>FY2025 10-K / FY2024 10-K</x:v>
      </x:c>
      <x:c r="F46" t="str">
        <x:f>IF(AND(ISNUMBER(B46),ISNUMBER(C46),ISNUMBER(D46)),"PASS","CHECK")</x:f>
        <x:v>PASS</x:v>
      </x:c>
      <x:c r="G46" t="str"/>
    </x:row>
    <x:row r="47">
      <x:c r="A47" t="str">
        <x:v>Noncontrolling interests</x:v>
      </x:c>
      <x:c r="B47" s="30" t="n">
        <x:v>85.404</x:v>
      </x:c>
      <x:c r="C47" s="30" t="n">
        <x:v>91.132</x:v>
      </x:c>
      <x:c r="D47" s="30" t="n">
        <x:v>100.743</x:v>
      </x:c>
      <x:c r="E47" t="str">
        <x:v>FY2025 10-K / FY2024 10-K</x:v>
      </x:c>
      <x:c r="F47" t="str">
        <x:f>IF(AND(ISNUMBER(B47),ISNUMBER(C47),ISNUMBER(D47)),"PASS","CHECK")</x:f>
        <x:v>PASS</x:v>
      </x:c>
      <x:c r="G47" t="str"/>
    </x:row>
    <x:row r="48">
      <x:c r="A48" t="str">
        <x:v>Total equity</x:v>
      </x:c>
      <x:c r="B48" s="30" t="n">
        <x:v>3560.965</x:v>
      </x:c>
      <x:c r="C48" s="30" t="n">
        <x:v>5094.407</x:v>
      </x:c>
      <x:c r="D48" s="30" t="n">
        <x:v>7488.011</x:v>
      </x:c>
      <x:c r="E48" t="str">
        <x:v>FY2025 10-K / FY2024 10-K</x:v>
      </x:c>
      <x:c r="F48" t="str">
        <x:f>IF(AND(ISNUMBER(B48),ISNUMBER(C48),ISNUMBER(D48)),"PASS","CHECK")</x:f>
        <x:v>PASS</x:v>
      </x:c>
      <x:c r="G48" t="str"/>
    </x:row>
    <x:row r="49">
      <x:c r="A49" t="str">
        <x:v>Total liabilities and equity</x:v>
      </x:c>
      <x:c r="B49" s="30" t="n">
        <x:v>4522.425</x:v>
      </x:c>
      <x:c r="C49" s="30" t="n">
        <x:v>6340.884</x:v>
      </x:c>
      <x:c r="D49" s="30" t="n">
        <x:v>8900.392</x:v>
      </x:c>
      <x:c r="E49" t="str">
        <x:v>FY2025 10-K / FY2024 10-K</x:v>
      </x:c>
      <x:c r="F49" t="str">
        <x:f>IF(AND(ISNUMBER(B49),ISNUMBER(C49),ISNUMBER(D49)),"PASS","CHECK")</x:f>
        <x:v>PASS</x:v>
      </x:c>
      <x:c r="G49" t="str"/>
    </x:row>
    <x:row r="50">
      <x:c r="A50" s="14" t="str">
        <x:v>Cash Flow Statement</x:v>
      </x:c>
      <x:c r="B50" s="30" t="str"/>
      <x:c r="C50" s="30" t="str"/>
      <x:c r="D50" s="30" t="str"/>
      <x:c r="E50" t="str"/>
      <x:c r="F50" t="str"/>
      <x:c r="G50" t="str"/>
    </x:row>
    <x:row r="51">
      <x:c r="A51" t="str">
        <x:v>Net income</x:v>
      </x:c>
      <x:c r="B51" s="30" t="n">
        <x:v>217.375</x:v>
      </x:c>
      <x:c r="C51" s="30" t="n">
        <x:v>467.918</x:v>
      </x:c>
      <x:c r="D51" s="30" t="n">
        <x:v>1634.644</x:v>
      </x:c>
      <x:c r="E51" t="str">
        <x:v>FY2025 10-K / FY2024 10-K</x:v>
      </x:c>
      <x:c r="F51" t="str">
        <x:f>IF(AND(ISNUMBER(B51),ISNUMBER(C51),ISNUMBER(D51)),"PASS","CHECK")</x:f>
        <x:v>PASS</x:v>
      </x:c>
      <x:c r="G51" t="str"/>
    </x:row>
    <x:row r="52">
      <x:c r="A52" t="str">
        <x:v>D&amp;A</x:v>
      </x:c>
      <x:c r="B52" s="30" t="n">
        <x:v>33.354</x:v>
      </x:c>
      <x:c r="C52" s="30" t="n">
        <x:v>31.587</x:v>
      </x:c>
      <x:c r="D52" s="30" t="n">
        <x:v>26.145</x:v>
      </x:c>
      <x:c r="E52" t="str">
        <x:v>FY2025 10-K / FY2024 10-K</x:v>
      </x:c>
      <x:c r="F52" t="str">
        <x:f>IF(AND(ISNUMBER(B52),ISNUMBER(C52),ISNUMBER(D52)),"PASS","CHECK")</x:f>
        <x:v>PASS</x:v>
      </x:c>
      <x:c r="G52" t="str"/>
    </x:row>
    <x:row r="53">
      <x:c r="A53" t="str">
        <x:v>Stock-based compensation</x:v>
      </x:c>
      <x:c r="B53" s="30" t="n">
        <x:v>475.903</x:v>
      </x:c>
      <x:c r="C53" s="30" t="n">
        <x:v>691.638</x:v>
      </x:c>
      <x:c r="D53" s="30" t="n">
        <x:v>684.033</x:v>
      </x:c>
      <x:c r="E53" t="str">
        <x:v>FY2025 10-K / FY2024 10-K</x:v>
      </x:c>
      <x:c r="F53" t="str">
        <x:f>IF(AND(ISNUMBER(B53),ISNUMBER(C53),ISNUMBER(D53)),"PASS","CHECK")</x:f>
        <x:v>PASS</x:v>
      </x:c>
      <x:c r="G53" t="str"/>
    </x:row>
    <x:row r="54">
      <x:c r="A54" t="str">
        <x:v>Accounts receivable change</x:v>
      </x:c>
      <x:c r="B54" s="30" t="n">
        <x:v>-106.159</x:v>
      </x:c>
      <x:c r="C54" s="30" t="n">
        <x:v>-211.157</x:v>
      </x:c>
      <x:c r="D54" s="30" t="n">
        <x:v>-450.429</x:v>
      </x:c>
      <x:c r="E54" t="str">
        <x:v>FY2025 10-K / FY2024 10-K</x:v>
      </x:c>
      <x:c r="F54" t="str">
        <x:f>IF(AND(ISNUMBER(B54),ISNUMBER(C54),ISNUMBER(D54)),"PASS","CHECK")</x:f>
        <x:v>PASS</x:v>
      </x:c>
      <x:c r="G54" t="str"/>
    </x:row>
    <x:row r="55">
      <x:c r="A55" t="str">
        <x:v>Contract liabilities change</x:v>
      </x:c>
      <x:c r="B55" s="30" t="n">
        <x:v>143.859</x:v>
      </x:c>
      <x:c r="C55" s="30" t="n">
        <x:v>76.796</x:v>
      </x:c>
      <x:c r="D55" s="30" t="n">
        <x:v>238.688</x:v>
      </x:c>
      <x:c r="E55" t="str">
        <x:v>FY2025 10-K / FY2024 10-K</x:v>
      </x:c>
      <x:c r="F55" t="str">
        <x:f>IF(AND(ISNUMBER(B55),ISNUMBER(C55),ISNUMBER(D55)),"PASS","CHECK")</x:f>
        <x:v>PASS</x:v>
      </x:c>
      <x:c r="G55" t="str"/>
    </x:row>
    <x:row r="56">
      <x:c r="A56" t="str">
        <x:v>Net cash provided by operating activities</x:v>
      </x:c>
      <x:c r="B56" s="30" t="n">
        <x:v>712.183</x:v>
      </x:c>
      <x:c r="C56" s="30" t="n">
        <x:v>1153.865</x:v>
      </x:c>
      <x:c r="D56" s="30" t="n">
        <x:v>2134.473</x:v>
      </x:c>
      <x:c r="E56" t="str">
        <x:v>FY2025 10-K / FY2024 10-K</x:v>
      </x:c>
      <x:c r="F56" t="str">
        <x:f>IF(AND(ISNUMBER(B56),ISNUMBER(C56),ISNUMBER(D56)),"PASS","CHECK")</x:f>
        <x:v>PASS</x:v>
      </x:c>
      <x:c r="G56" t="str"/>
    </x:row>
    <x:row r="57">
      <x:c r="A57" t="str">
        <x:v>Purchases of property and equipment</x:v>
      </x:c>
      <x:c r="B57" s="30" t="n">
        <x:v>-15.114</x:v>
      </x:c>
      <x:c r="C57" s="30" t="n">
        <x:v>-12.634</x:v>
      </x:c>
      <x:c r="D57" s="30" t="n">
        <x:v>-33.882</x:v>
      </x:c>
      <x:c r="E57" t="str">
        <x:v>FY2025 10-K / FY2024 10-K</x:v>
      </x:c>
      <x:c r="F57" t="str">
        <x:f>IF(AND(ISNUMBER(B57),ISNUMBER(C57),ISNUMBER(D57)),"PASS","CHECK")</x:f>
        <x:v>PASS</x:v>
      </x:c>
      <x:c r="G57" t="str"/>
    </x:row>
    <x:row r="58">
      <x:c r="A58" t="str">
        <x:v>Net cash used in investing activities</x:v>
      </x:c>
      <x:c r="B58" s="30" t="n">
        <x:v>-2711.18</x:v>
      </x:c>
      <x:c r="C58" s="30" t="n">
        <x:v>-340.655</x:v>
      </x:c>
      <x:c r="D58" s="30" t="n">
        <x:v>-2783.551</x:v>
      </x:c>
      <x:c r="E58" t="str">
        <x:v>FY2025 10-K / FY2024 10-K</x:v>
      </x:c>
      <x:c r="F58" t="str">
        <x:f>IF(AND(ISNUMBER(B58),ISNUMBER(C58),ISNUMBER(D58)),"PASS","CHECK")</x:f>
        <x:v>PASS</x:v>
      </x:c>
      <x:c r="G58" t="str"/>
    </x:row>
    <x:row r="59">
      <x:c r="A59" t="str">
        <x:v>Net cash provided by / (used in) financing activities</x:v>
      </x:c>
      <x:c r="B59" s="30" t="n">
        <x:v>218.839</x:v>
      </x:c>
      <x:c r="C59" s="30" t="n">
        <x:v>463.364</x:v>
      </x:c>
      <x:c r="D59" s="30" t="n">
        <x:v>-26.91</x:v>
      </x:c>
      <x:c r="E59" t="str">
        <x:v>FY2025 10-K / FY2024 10-K</x:v>
      </x:c>
      <x:c r="F59" t="str">
        <x:f>IF(AND(ISNUMBER(B59),ISNUMBER(C59),ISNUMBER(D59)),"PASS","CHECK")</x:f>
        <x:v>PASS</x:v>
      </x:c>
      <x:c r="G59" t="str"/>
    </x:row>
    <x:row r="60">
      <x:c r="A60" t="str">
        <x:v>FX impact on cash</x:v>
      </x:c>
      <x:c r="B60" s="30" t="n">
        <x:v>2.93</x:v>
      </x:c>
      <x:c r="C60" s="30" t="n">
        <x:v>-6.745</x:v>
      </x:c>
      <x:c r="D60" s="30" t="n">
        <x:v>7.477</x:v>
      </x:c>
      <x:c r="E60" t="str">
        <x:v>FY2025 10-K / FY2024 10-K</x:v>
      </x:c>
      <x:c r="F60" t="str">
        <x:f>IF(AND(ISNUMBER(B60),ISNUMBER(C60),ISNUMBER(D60)),"PASS","CHECK")</x:f>
        <x:v>PASS</x:v>
      </x:c>
      <x:c r="G60" t="str"/>
    </x:row>
    <x:row r="61">
      <x:c r="A61" t="str">
        <x:v>Net increase / (decrease) in cash &amp; restricted cash</x:v>
      </x:c>
      <x:c r="B61" s="30" t="n">
        <x:v>-1777.228</x:v>
      </x:c>
      <x:c r="C61" s="30" t="n">
        <x:v>1269.829</x:v>
      </x:c>
      <x:c r="D61" s="30" t="n">
        <x:v>-668.511</x:v>
      </x:c>
      <x:c r="E61" t="str">
        <x:v>FY2025 10-K / FY2024 10-K</x:v>
      </x:c>
      <x:c r="F61" t="str">
        <x:f>IF(AND(ISNUMBER(B61),ISNUMBER(C61),ISNUMBER(D61)),"PASS","CHECK")</x:f>
        <x:v>PASS</x:v>
      </x:c>
      <x:c r="G61" t="str"/>
    </x:row>
    <x:row r="62">
      <x:c r="A62" t="str">
        <x:v>Ending cash, cash equivalents &amp; restricted cash</x:v>
      </x:c>
      <x:c r="B62" s="30" t="n">
        <x:v>850.107</x:v>
      </x:c>
      <x:c r="C62" s="30" t="n">
        <x:v>2119.936</x:v>
      </x:c>
      <x:c r="D62" s="30" t="n">
        <x:v>1451.425</x:v>
      </x:c>
      <x:c r="E62" t="str">
        <x:v>FY2025 10-K / FY2024 10-K</x:v>
      </x:c>
      <x:c r="F62" t="str">
        <x:f>IF(AND(ISNUMBER(B62),ISNUMBER(C62),ISNUMBER(D62)),"PASS","CHECK")</x:f>
        <x:v>PASS</x:v>
      </x:c>
      <x:c r="G62" t="str"/>
    </x:row>
  </x:sheetData>
  <x:mergeCells>
    <x:mergeCell ref="A1:G1"/>
    <x:mergeCell ref="A4:G4"/>
    <x:mergeCell ref="A21:G21"/>
    <x:mergeCell ref="A50:G5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7.25" hidden="0" customWidth="1"/>
    <x:col min="3" max="3" width="7.25" hidden="0" customWidth="1"/>
    <x:col min="4" max="4" width="7.25" hidden="0" customWidth="1"/>
    <x:col min="5" max="5" width="7.25" hidden="0" customWidth="1"/>
    <x:col min="6" max="6" width="7.25" hidden="0" customWidth="1"/>
    <x:col min="7" max="7" width="7" hidden="0" customWidth="1"/>
    <x:col min="8" max="8" width="38" hidden="0" customWidth="1"/>
    <x:col min="9" max="9" width="48" hidden="0" customWidth="1"/>
  </x:cols>
  <x:sheetData>
    <x:row r="1">
      <x:c r="A1" s="4" t="str">
        <x:v>Palantir Integrated Forecast Model</x:v>
      </x:c>
      <x:c r="B1" t="str"/>
      <x:c r="C1" t="str"/>
      <x:c r="D1" t="str"/>
      <x:c r="E1" t="str"/>
      <x:c r="F1" t="str"/>
      <x:c r="G1" t="str"/>
      <x:c r="H1" t="str"/>
      <x:c r="I1" t="str"/>
    </x:row>
    <x:row r="3">
      <x:c r="A3" s="18" t="str">
        <x:v>$mm except per share / shares</x:v>
      </x:c>
      <x:c r="B3" s="18" t="str">
        <x:v>2025A</x:v>
      </x:c>
      <x:c r="C3" s="18" t="str">
        <x:v>2026E</x:v>
      </x:c>
      <x:c r="D3" s="18" t="str">
        <x:v>2027E</x:v>
      </x:c>
      <x:c r="E3" s="18" t="str">
        <x:v>2028E</x:v>
      </x:c>
      <x:c r="F3" s="18" t="str">
        <x:v>2029E</x:v>
      </x:c>
      <x:c r="G3" s="18" t="str">
        <x:v>2030E</x:v>
      </x:c>
      <x:c r="H3" s="18" t="str">
        <x:v>Source / formula</x:v>
      </x:c>
      <x:c r="I3" s="18" t="str">
        <x:v>Notes</x:v>
      </x:c>
    </x:row>
    <x:row r="4">
      <x:c r="A4" s="14" t="str">
        <x:v>Income Statement</x:v>
      </x:c>
      <x:c r="B4" t="str"/>
      <x:c r="C4" t="str"/>
      <x:c r="D4" t="str"/>
      <x:c r="E4" t="str"/>
      <x:c r="F4" t="str"/>
      <x:c r="G4" t="str"/>
      <x:c r="H4" t="str"/>
      <x:c r="I4" t="str"/>
    </x:row>
    <x:row r="5">
      <x:c r="A5" t="str">
        <x:v>Revenue</x:v>
      </x:c>
      <x:c r="B5" s="36" t="n">
        <x:f>'Historical Financials'!D5</x:f>
        <x:v>4475.446</x:v>
      </x:c>
      <x:c r="C5" s="40" t="n">
        <x:f>B5*(1+Inputs!B4)</x:f>
        <x:v>6041.8521</x:v>
      </x:c>
      <x:c r="D5" s="40" t="n">
        <x:f>C5*(1+Inputs!C4)</x:f>
        <x:v>7733.570688</x:v>
      </x:c>
      <x:c r="E5" s="40" t="n">
        <x:f>D5*(1+Inputs!D4)</x:f>
        <x:v>9434.956239359999</x:v>
      </x:c>
      <x:c r="F5" s="40" t="n">
        <x:f>E5*(1+Inputs!E4)</x:f>
        <x:v>11133.248362444798</x:v>
      </x:c>
      <x:c r="G5" s="40" t="n">
        <x:f>F5*(1+Inputs!F4)</x:f>
        <x:v>12803.235616811517</x:v>
      </x:c>
      <x:c r="H5" t="str">
        <x:v>Historical; forecast via revenue growth</x:v>
      </x:c>
      <x:c r="I5" t="str"/>
    </x:row>
    <x:row r="6">
      <x:c r="A6" t="str">
        <x:v>Revenue growth</x:v>
      </x:c>
      <x:c r="B6" s="37" t="n">
        <x:f>B5/'Historical Financials'!C5-1</x:f>
        <x:v>0.5618339093221547</x:v>
      </x:c>
      <x:c r="C6" s="41" t="n">
        <x:f>C5/B5-1</x:f>
        <x:v>0.3500000000000001</x:v>
      </x:c>
      <x:c r="D6" s="41" t="n">
        <x:f>D5/C5-1</x:f>
        <x:v>0.28</x:v>
      </x:c>
      <x:c r="E6" s="41" t="n">
        <x:f>E5/D5-1</x:f>
        <x:v>0.21999999999999997</x:v>
      </x:c>
      <x:c r="F6" s="41" t="n">
        <x:f>F5/E5-1</x:f>
        <x:v>0.17999999999999994</x:v>
      </x:c>
      <x:c r="G6" s="41" t="n">
        <x:f>G5/F5-1</x:f>
        <x:v>0.1499999999999999</x:v>
      </x:c>
      <x:c r="H6" t="str">
        <x:v>Formula</x:v>
      </x:c>
      <x:c r="I6" t="str"/>
    </x:row>
    <x:row r="7">
      <x:c r="A7" t="str">
        <x:v>Cost of revenue</x:v>
      </x:c>
      <x:c r="B7" s="36" t="n">
        <x:f>'Historical Financials'!D6</x:f>
        <x:v>789.177</x:v>
      </x:c>
      <x:c r="C7" s="40" t="n">
        <x:f>C5*Inputs!B5</x:f>
        <x:v>1057.3241175</x:v>
      </x:c>
      <x:c r="D7" s="40" t="n">
        <x:f>D5*Inputs!C5</x:f>
        <x:v>1314.7070169600001</x:v>
      </x:c>
      <x:c r="E7" s="40" t="n">
        <x:f>E5*Inputs!D5</x:f>
        <x:v>1585.0726482124799</x:v>
      </x:c>
      <x:c r="F7" s="40" t="n">
        <x:f>F5*Inputs!E5</x:f>
        <x:v>1836.9859798033917</x:v>
      </x:c>
      <x:c r="G7" s="40" t="n">
        <x:f>G5*Inputs!F5</x:f>
        <x:v>2074.1241699234656</x:v>
      </x:c>
      <x:c r="H7" t="str">
        <x:v>Historical; forecast % revenue</x:v>
      </x:c>
      <x:c r="I7" t="str"/>
    </x:row>
    <x:row r="8">
      <x:c r="A8" t="str">
        <x:v>Cost of revenue %</x:v>
      </x:c>
      <x:c r="B8" s="37" t="n">
        <x:f>B7/B5</x:f>
        <x:v>0.17633482785849725</x:v>
      </x:c>
      <x:c r="C8" s="41" t="n">
        <x:f>C7/C5</x:f>
        <x:v>0.17500000000000002</x:v>
      </x:c>
      <x:c r="D8" s="41" t="n">
        <x:f>D7/D5</x:f>
        <x:v>0.17</x:v>
      </x:c>
      <x:c r="E8" s="41" t="n">
        <x:f>E7/E5</x:f>
        <x:v>0.168</x:v>
      </x:c>
      <x:c r="F8" s="41" t="n">
        <x:f>F7/F5</x:f>
        <x:v>0.165</x:v>
      </x:c>
      <x:c r="G8" s="41" t="n">
        <x:f>G7/G5</x:f>
        <x:v>0.162</x:v>
      </x:c>
      <x:c r="H8" t="str">
        <x:v>Formula</x:v>
      </x:c>
      <x:c r="I8" t="str"/>
    </x:row>
    <x:row r="9">
      <x:c r="A9" t="str">
        <x:v>Gross profit</x:v>
      </x:c>
      <x:c r="B9" s="36" t="n">
        <x:f>B5-B7</x:f>
        <x:v>3686.269</x:v>
      </x:c>
      <x:c r="C9" s="40" t="n">
        <x:f>C5-C7</x:f>
        <x:v>4984.5279825</x:v>
      </x:c>
      <x:c r="D9" s="40" t="n">
        <x:f>D5-D7</x:f>
        <x:v>6418.86367104</x:v>
      </x:c>
      <x:c r="E9" s="40" t="n">
        <x:f>E5-E7</x:f>
        <x:v>7849.883591147519</x:v>
      </x:c>
      <x:c r="F9" s="40" t="n">
        <x:f>F5-F7</x:f>
        <x:v>9296.262382641406</x:v>
      </x:c>
      <x:c r="G9" s="40" t="n">
        <x:f>G5-G7</x:f>
        <x:v>10729.111446888051</x:v>
      </x:c>
      <x:c r="H9" t="str">
        <x:v>Formula</x:v>
      </x:c>
      <x:c r="I9" t="str"/>
    </x:row>
    <x:row r="10">
      <x:c r="A10" t="str">
        <x:v>Gross margin</x:v>
      </x:c>
      <x:c r="B10" s="37" t="n">
        <x:f>B9/B5</x:f>
        <x:v>0.8236651721415027</x:v>
      </x:c>
      <x:c r="C10" s="41" t="n">
        <x:f>C9/C5</x:f>
        <x:v>0.825</x:v>
      </x:c>
      <x:c r="D10" s="41" t="n">
        <x:f>D9/D5</x:f>
        <x:v>0.83</x:v>
      </x:c>
      <x:c r="E10" s="41" t="n">
        <x:f>E9/E5</x:f>
        <x:v>0.832</x:v>
      </x:c>
      <x:c r="F10" s="41" t="n">
        <x:f>F9/F5</x:f>
        <x:v>0.835</x:v>
      </x:c>
      <x:c r="G10" s="41" t="n">
        <x:f>G9/G5</x:f>
        <x:v>0.8380000000000001</x:v>
      </x:c>
      <x:c r="H10" t="str">
        <x:v>Formula</x:v>
      </x:c>
      <x:c r="I10" t="str"/>
    </x:row>
    <x:row r="11">
      <x:c r="A11" t="str">
        <x:v>Sales and marketing</x:v>
      </x:c>
      <x:c r="B11" s="36" t="n">
        <x:f>'Historical Financials'!D8</x:f>
        <x:v>1056.859</x:v>
      </x:c>
      <x:c r="C11" s="40" t="n">
        <x:f>C5*Inputs!B6</x:f>
        <x:v>1359.4167225</x:v>
      </x:c>
      <x:c r="D11" s="40" t="n">
        <x:f>D5*Inputs!C6</x:f>
        <x:v>1662.7176979199999</x:v>
      </x:c>
      <x:c r="E11" s="40" t="n">
        <x:f>E5*Inputs!D6</x:f>
        <x:v>1934.1660290687996</x:v>
      </x:c>
      <x:c r="F11" s="40" t="n">
        <x:f>F5*Inputs!E6</x:f>
        <x:v>2170.9834306767357</x:v>
      </x:c>
      <x:c r="G11" s="40" t="n">
        <x:f>G5*Inputs!F6</x:f>
        <x:v>2368.5985891101304</x:v>
      </x:c>
      <x:c r="H11" t="str">
        <x:v>Historical; forecast % revenue</x:v>
      </x:c>
      <x:c r="I11" t="str"/>
    </x:row>
    <x:row r="12">
      <x:c r="A12" t="str">
        <x:v>S&amp;M % revenue</x:v>
      </x:c>
      <x:c r="B12" s="37" t="n">
        <x:f>B11/B5</x:f>
        <x:v>0.23614607348630728</x:v>
      </x:c>
      <x:c r="C12" s="41" t="n">
        <x:f>C11/C5</x:f>
        <x:v>0.225</x:v>
      </x:c>
      <x:c r="D12" s="41" t="n">
        <x:f>D11/D5</x:f>
        <x:v>0.215</x:v>
      </x:c>
      <x:c r="E12" s="41" t="n">
        <x:f>E11/E5</x:f>
        <x:v>0.205</x:v>
      </x:c>
      <x:c r="F12" s="41" t="n">
        <x:f>F11/F5</x:f>
        <x:v>0.195</x:v>
      </x:c>
      <x:c r="G12" s="41" t="n">
        <x:f>G11/G5</x:f>
        <x:v>0.185</x:v>
      </x:c>
      <x:c r="H12" t="str">
        <x:v>Formula</x:v>
      </x:c>
      <x:c r="I12" t="str"/>
    </x:row>
    <x:row r="13">
      <x:c r="A13" t="str">
        <x:v>Research and development</x:v>
      </x:c>
      <x:c r="B13" s="36" t="n">
        <x:f>'Historical Financials'!D9</x:f>
        <x:v>557.677</x:v>
      </x:c>
      <x:c r="C13" s="40" t="n">
        <x:f>C5*Inputs!B7</x:f>
        <x:v>712.9385477999999</x:v>
      </x:c>
      <x:c r="D13" s="40" t="n">
        <x:f>D5*Inputs!C7</x:f>
        <x:v>889.36062912</x:v>
      </x:c>
      <x:c r="E13" s="40" t="n">
        <x:f>E5*Inputs!D7</x:f>
        <x:v>1056.71509880832</x:v>
      </x:c>
      <x:c r="F13" s="40" t="n">
        <x:f>F5*Inputs!E7</x:f>
        <x:v>1224.6573198689277</x:v>
      </x:c>
      <x:c r="G13" s="40" t="n">
        <x:f>G5*Inputs!F7</x:f>
        <x:v>1382.7494466156438</x:v>
      </x:c>
      <x:c r="H13" t="str">
        <x:v>Historical; forecast % revenue</x:v>
      </x:c>
      <x:c r="I13" t="str"/>
    </x:row>
    <x:row r="14">
      <x:c r="A14" t="str">
        <x:v>R&amp;D % revenue</x:v>
      </x:c>
      <x:c r="B14" s="37" t="n">
        <x:f>B13/B5</x:f>
        <x:v>0.12460813961334805</x:v>
      </x:c>
      <x:c r="C14" s="41" t="n">
        <x:f>C13/C5</x:f>
        <x:v>0.11799999999999998</x:v>
      </x:c>
      <x:c r="D14" s="41" t="n">
        <x:f>D13/D5</x:f>
        <x:v>0.115</x:v>
      </x:c>
      <x:c r="E14" s="41" t="n">
        <x:f>E13/E5</x:f>
        <x:v>0.112</x:v>
      </x:c>
      <x:c r="F14" s="41" t="n">
        <x:f>F13/F5</x:f>
        <x:v>0.11</x:v>
      </x:c>
      <x:c r="G14" s="41" t="n">
        <x:f>G13/G5</x:f>
        <x:v>0.108</x:v>
      </x:c>
      <x:c r="H14" t="str">
        <x:v>Formula</x:v>
      </x:c>
      <x:c r="I14" t="str"/>
    </x:row>
    <x:row r="15">
      <x:c r="A15" t="str">
        <x:v>General and administrative</x:v>
      </x:c>
      <x:c r="B15" s="36" t="n">
        <x:f>'Historical Financials'!D10</x:f>
        <x:v>657.718</x:v>
      </x:c>
      <x:c r="C15" s="40" t="n">
        <x:f>C5*Inputs!B8</x:f>
        <x:v>857.9429981999999</x:v>
      </x:c>
      <x:c r="D15" s="40" t="n">
        <x:f>D5*Inputs!C8</x:f>
        <x:v>1044.03204288</x:v>
      </x:c>
      <x:c r="E15" s="40" t="n">
        <x:f>E5*Inputs!D8</x:f>
        <x:v>1226.5443111168</x:v>
      </x:c>
      <x:c r="F15" s="40" t="n">
        <x:f>F5*Inputs!E8</x:f>
        <x:v>1391.6560453055997</x:v>
      </x:c>
      <x:c r="G15" s="40" t="n">
        <x:f>G5*Inputs!F8</x:f>
        <x:v>1536.388274017382</x:v>
      </x:c>
      <x:c r="H15" t="str">
        <x:v>Historical; forecast % revenue</x:v>
      </x:c>
      <x:c r="I15" t="str"/>
    </x:row>
    <x:row r="16">
      <x:c r="A16" t="str">
        <x:v>G&amp;A % revenue</x:v>
      </x:c>
      <x:c r="B16" s="37" t="n">
        <x:f>B15/B5</x:f>
        <x:v>0.14696144250204338</x:v>
      </x:c>
      <x:c r="C16" s="41" t="n">
        <x:f>C15/C5</x:f>
        <x:v>0.142</x:v>
      </x:c>
      <x:c r="D16" s="41" t="n">
        <x:f>D15/D5</x:f>
        <x:v>0.135</x:v>
      </x:c>
      <x:c r="E16" s="41" t="n">
        <x:f>E15/E5</x:f>
        <x:v>0.13</x:v>
      </x:c>
      <x:c r="F16" s="41" t="n">
        <x:f>F15/F5</x:f>
        <x:v>0.125</x:v>
      </x:c>
      <x:c r="G16" s="41" t="n">
        <x:f>G15/G5</x:f>
        <x:v>0.12</x:v>
      </x:c>
      <x:c r="H16" t="str">
        <x:v>Formula</x:v>
      </x:c>
      <x:c r="I16" t="str"/>
    </x:row>
    <x:row r="17">
      <x:c r="A17" t="str">
        <x:v>Operating income</x:v>
      </x:c>
      <x:c r="B17" s="36" t="n">
        <x:f>B9-B11-B13-B15</x:f>
        <x:v>1414.0149999999999</x:v>
      </x:c>
      <x:c r="C17" s="40" t="n">
        <x:f>C9-C11-C13-C15</x:f>
        <x:v>2054.229714</x:v>
      </x:c>
      <x:c r="D17" s="40" t="n">
        <x:f>D9-D11-D13-D15</x:f>
        <x:v>2822.7533011199994</x:v>
      </x:c>
      <x:c r="E17" s="40" t="n">
        <x:f>E9-E11-E13-E15</x:f>
        <x:v>3632.4581521535993</x:v>
      </x:c>
      <x:c r="F17" s="40" t="n">
        <x:f>F9-F11-F13-F15</x:f>
        <x:v>4508.965586790143</x:v>
      </x:c>
      <x:c r="G17" s="40" t="n">
        <x:f>G9-G11-G13-G15</x:f>
        <x:v>5441.375137144895</x:v>
      </x:c>
      <x:c r="H17" t="str">
        <x:v>Formula</x:v>
      </x:c>
      <x:c r="I17" t="str"/>
    </x:row>
    <x:row r="18">
      <x:c r="A18" t="str">
        <x:v>Operating margin</x:v>
      </x:c>
      <x:c r="B18" s="37" t="n">
        <x:f>B17/B5</x:f>
        <x:v>0.3159495165398041</x:v>
      </x:c>
      <x:c r="C18" s="41" t="n">
        <x:f>C17/C5</x:f>
        <x:v>0.34</x:v>
      </x:c>
      <x:c r="D18" s="41" t="n">
        <x:f>D17/D5</x:f>
        <x:v>0.36499999999999994</x:v>
      </x:c>
      <x:c r="E18" s="41" t="n">
        <x:f>E17/E5</x:f>
        <x:v>0.38499999999999995</x:v>
      </x:c>
      <x:c r="F18" s="41" t="n">
        <x:f>F17/F5</x:f>
        <x:v>0.40499999999999997</x:v>
      </x:c>
      <x:c r="G18" s="41" t="n">
        <x:f>G17/G5</x:f>
        <x:v>0.42500000000000004</x:v>
      </x:c>
      <x:c r="H18" t="str">
        <x:v>Formula</x:v>
      </x:c>
      <x:c r="I18" t="str"/>
    </x:row>
    <x:row r="19">
      <x:c r="A19" t="str">
        <x:v>Interest income</x:v>
      </x:c>
      <x:c r="B19" s="36" t="n">
        <x:f>'Historical Financials'!D13</x:f>
        <x:v>229.181</x:v>
      </x:c>
      <x:c r="C19" s="40" t="n">
        <x:f>(C40+C41)*Inputs!B9</x:f>
        <x:v>0</x:v>
      </x:c>
      <x:c r="D19" s="40" t="n">
        <x:f>(D40+D41)*Inputs!C9</x:f>
        <x:v>0</x:v>
      </x:c>
      <x:c r="E19" s="40" t="n">
        <x:f>(E40+E41)*Inputs!D9</x:f>
        <x:v>0</x:v>
      </x:c>
      <x:c r="F19" s="40" t="n">
        <x:f>(F40+F41)*Inputs!E9</x:f>
        <x:v>0</x:v>
      </x:c>
      <x:c r="G19" s="40" t="n">
        <x:f>(G40+G41)*Inputs!F9</x:f>
        <x:v>0</x:v>
      </x:c>
      <x:c r="H19" t="str">
        <x:v>Cash/securities yield</x:v>
      </x:c>
      <x:c r="I19" t="str"/>
    </x:row>
    <x:row r="20">
      <x:c r="A20" t="str">
        <x:v>Other income / (expense), net</x:v>
      </x:c>
      <x:c r="B20" s="36" t="n">
        <x:f>'Historical Financials'!D14</x:f>
        <x:v>14.172</x:v>
      </x:c>
      <x:c r="C20" s="40" t="n">
        <x:f>Inputs!B10</x:f>
        <x:v>0</x:v>
      </x:c>
      <x:c r="D20" s="40" t="n">
        <x:f>Inputs!C10</x:f>
        <x:v>0</x:v>
      </x:c>
      <x:c r="E20" s="40" t="n">
        <x:f>Inputs!D10</x:f>
        <x:v>0</x:v>
      </x:c>
      <x:c r="F20" s="40" t="n">
        <x:f>Inputs!E10</x:f>
        <x:v>0</x:v>
      </x:c>
      <x:c r="G20" s="40" t="n">
        <x:f>Inputs!F10</x:f>
        <x:v>0</x:v>
      </x:c>
      <x:c r="H20" t="str">
        <x:v>Assumption</x:v>
      </x:c>
      <x:c r="I20" t="str"/>
    </x:row>
    <x:row r="21">
      <x:c r="A21" t="str">
        <x:v>Pre-tax income</x:v>
      </x:c>
      <x:c r="B21" s="36" t="n">
        <x:f>B17+B19+B20</x:f>
        <x:v>1657.368</x:v>
      </x:c>
      <x:c r="C21" s="40" t="n">
        <x:f>C17+C19+C20</x:f>
        <x:v>2054.229714</x:v>
      </x:c>
      <x:c r="D21" s="40" t="n">
        <x:f>D17+D19+D20</x:f>
        <x:v>2822.7533011199994</x:v>
      </x:c>
      <x:c r="E21" s="40" t="n">
        <x:f>E17+E19+E20</x:f>
        <x:v>3632.4581521535993</x:v>
      </x:c>
      <x:c r="F21" s="40" t="n">
        <x:f>F17+F19+F20</x:f>
        <x:v>4508.965586790143</x:v>
      </x:c>
      <x:c r="G21" s="40" t="n">
        <x:f>G17+G19+G20</x:f>
        <x:v>5441.375137144895</x:v>
      </x:c>
      <x:c r="H21" t="str">
        <x:v>Formula</x:v>
      </x:c>
      <x:c r="I21" t="str"/>
    </x:row>
    <x:row r="22">
      <x:c r="A22" t="str">
        <x:v>Tax expense</x:v>
      </x:c>
      <x:c r="B22" s="36" t="n">
        <x:f>'Historical Financials'!D16</x:f>
        <x:v>22.724</x:v>
      </x:c>
      <x:c r="C22" s="40" t="n">
        <x:f>C21*Inputs!B11</x:f>
        <x:v>61.62689142</x:v>
      </x:c>
      <x:c r="D22" s="40" t="n">
        <x:f>D21*Inputs!C11</x:f>
        <x:v>141.13766505599997</x:v>
      </x:c>
      <x:c r="E22" s="40" t="n">
        <x:f>E21*Inputs!D11</x:f>
        <x:v>290.596652172288</x:v>
      </x:c>
      <x:c r="F22" s="40" t="n">
        <x:f>F21*Inputs!E11</x:f>
        <x:v>450.89655867901433</x:v>
      </x:c>
      <x:c r="G22" s="40" t="n">
        <x:f>G21*Inputs!F11</x:f>
        <x:v>652.9650164573874</x:v>
      </x:c>
      <x:c r="H22" t="str">
        <x:v>Tax rate assumption</x:v>
      </x:c>
      <x:c r="I22" t="str"/>
    </x:row>
    <x:row r="23">
      <x:c r="A23" t="str">
        <x:v>Tax rate</x:v>
      </x:c>
      <x:c r="B23" s="37" t="n">
        <x:f>B22/B21</x:f>
        <x:v>0.01371089583001482</x:v>
      </x:c>
      <x:c r="C23" s="41" t="n">
        <x:f>C22/C21</x:f>
        <x:v>0.03</x:v>
      </x:c>
      <x:c r="D23" s="41" t="n">
        <x:f>D22/D21</x:f>
        <x:v>0.05</x:v>
      </x:c>
      <x:c r="E23" s="41" t="n">
        <x:f>E22/E21</x:f>
        <x:v>0.08000000000000002</x:v>
      </x:c>
      <x:c r="F23" s="41" t="n">
        <x:f>F22/F21</x:f>
        <x:v>0.1</x:v>
      </x:c>
      <x:c r="G23" s="41" t="n">
        <x:f>G22/G21</x:f>
        <x:v>0.12</x:v>
      </x:c>
      <x:c r="H23" t="str">
        <x:v>Formula</x:v>
      </x:c>
      <x:c r="I23" t="str"/>
    </x:row>
    <x:row r="24">
      <x:c r="A24" t="str">
        <x:v>Net income</x:v>
      </x:c>
      <x:c r="B24" s="36" t="n">
        <x:f>B21-B22</x:f>
        <x:v>1634.644</x:v>
      </x:c>
      <x:c r="C24" s="40" t="n">
        <x:f>C21-C22</x:f>
        <x:v>1992.60282258</x:v>
      </x:c>
      <x:c r="D24" s="40" t="n">
        <x:f>D21-D22</x:f>
        <x:v>2681.6156360639993</x:v>
      </x:c>
      <x:c r="E24" s="40" t="n">
        <x:f>E21-E22</x:f>
        <x:v>3341.861499981311</x:v>
      </x:c>
      <x:c r="F24" s="40" t="n">
        <x:f>F21-F22</x:f>
        <x:v>4058.0690281111283</x:v>
      </x:c>
      <x:c r="G24" s="40" t="n">
        <x:f>G21-G22</x:f>
        <x:v>4788.4101206875075</x:v>
      </x:c>
      <x:c r="H24" t="str">
        <x:v>Formula</x:v>
      </x:c>
      <x:c r="I24" t="str"/>
    </x:row>
    <x:row r="25">
      <x:c r="A25" t="str">
        <x:v>Less: NCI net income</x:v>
      </x:c>
      <x:c r="B25" s="36" t="n">
        <x:f>'Historical Financials'!D18</x:f>
        <x:v>9.611</x:v>
      </x:c>
      <x:c r="C25" s="40" t="n">
        <x:f>C24*Inputs!B12</x:f>
        <x:v>11.95561693548</x:v>
      </x:c>
      <x:c r="D25" s="40" t="n">
        <x:f>D24*Inputs!C12</x:f>
        <x:v>16.089693816383996</x:v>
      </x:c>
      <x:c r="E25" s="40" t="n">
        <x:f>E24*Inputs!D12</x:f>
        <x:v>20.051168999887867</x:v>
      </x:c>
      <x:c r="F25" s="40" t="n">
        <x:f>F24*Inputs!E12</x:f>
        <x:v>24.34841416866677</x:v>
      </x:c>
      <x:c r="G25" s="40" t="n">
        <x:f>G24*Inputs!F12</x:f>
        <x:v>28.730460724125045</x:v>
      </x:c>
      <x:c r="H25" t="str">
        <x:v>NCI assumption</x:v>
      </x:c>
      <x:c r="I25" t="str"/>
    </x:row>
    <x:row r="26">
      <x:c r="A26" t="str">
        <x:v>Net income attributable</x:v>
      </x:c>
      <x:c r="B26" s="36" t="n">
        <x:f>B24-B25</x:f>
        <x:v>1625.033</x:v>
      </x:c>
      <x:c r="C26" s="40" t="n">
        <x:f>C24-C25</x:f>
        <x:v>1980.64720564452</x:v>
      </x:c>
      <x:c r="D26" s="40" t="n">
        <x:f>D24-D25</x:f>
        <x:v>2665.525942247615</x:v>
      </x:c>
      <x:c r="E26" s="40" t="n">
        <x:f>E24-E25</x:f>
        <x:v>3321.8103309814232</x:v>
      </x:c>
      <x:c r="F26" s="40" t="n">
        <x:f>F24-F25</x:f>
        <x:v>4033.7206139424616</x:v>
      </x:c>
      <x:c r="G26" s="40" t="n">
        <x:f>G24-G25</x:f>
        <x:v>4759.679659963383</x:v>
      </x:c>
      <x:c r="H26" t="str">
        <x:v>Formula</x:v>
      </x:c>
      <x:c r="I26" t="str"/>
    </x:row>
    <x:row r="27">
      <x:c r="A27" t="str">
        <x:v>Diluted shares</x:v>
      </x:c>
      <x:c r="B27" s="36" t="n">
        <x:f>'Historical Financials'!D20</x:f>
        <x:v>2565.197</x:v>
      </x:c>
      <x:c r="C27" s="40" t="n">
        <x:f>B27*(1+Inputs!B13)</x:f>
        <x:v>2629.326925</x:v>
      </x:c>
      <x:c r="D27" s="40" t="n">
        <x:f>C27*(1+Inputs!C13)</x:f>
        <x:v>2681.9134635</x:v>
      </x:c>
      <x:c r="E27" s="40" t="n">
        <x:f>D27*(1+Inputs!D13)</x:f>
        <x:v>2730.187905843</x:v>
      </x:c>
      <x:c r="F27" s="40" t="n">
        <x:f>E27*(1+Inputs!E13)</x:f>
        <x:v>2771.1407244306447</x:v>
      </x:c>
      <x:c r="G27" s="40" t="n">
        <x:f>F27*(1+Inputs!F13)</x:f>
        <x:v>2804.3944131238127</x:v>
      </x:c>
      <x:c r="H27" t="str">
        <x:v>Share count assumption</x:v>
      </x:c>
      <x:c r="I27" t="str"/>
    </x:row>
    <x:row r="28">
      <x:c r="A28" t="str">
        <x:v>Diluted EPS</x:v>
      </x:c>
      <x:c r="B28" s="36" t="n">
        <x:f>B26/B27</x:f>
        <x:v>0.6334924764062955</x:v>
      </x:c>
      <x:c r="C28" s="40" t="n">
        <x:f>C26/C27</x:f>
        <x:v>0.753290580495052</x:v>
      </x:c>
      <x:c r="D28" s="40" t="n">
        <x:f>D26/D27</x:f>
        <x:v>0.9938896159494279</x:v>
      </x:c>
      <x:c r="E28" s="40" t="n">
        <x:f>E26/E27</x:f>
        <x:v>1.2166965958175497</x:v>
      </x:c>
      <x:c r="F28" s="40" t="n">
        <x:f>F26/F27</x:f>
        <x:v>1.4556173847039924</x:v>
      </x:c>
      <x:c r="G28" s="40" t="n">
        <x:f>G26/G27</x:f>
        <x:v>1.6972219163215274</x:v>
      </x:c>
      <x:c r="H28" t="str">
        <x:v>Formula</x:v>
      </x:c>
      <x:c r="I28" t="str"/>
    </x:row>
    <x:row r="29">
      <x:c r="B29" s="36"/>
      <x:c r="C29" s="40"/>
      <x:c r="D29" s="40"/>
      <x:c r="E29" s="40"/>
      <x:c r="F29" s="40"/>
      <x:c r="G29" s="40"/>
    </x:row>
    <x:row r="30">
      <x:c r="A30" s="14" t="str">
        <x:v>Cash Flow / Free Cash Flow</x:v>
      </x:c>
      <x:c r="B30" s="36" t="str"/>
      <x:c r="C30" s="40" t="str"/>
      <x:c r="D30" s="40" t="str"/>
      <x:c r="E30" s="40" t="str"/>
      <x:c r="F30" s="40" t="str"/>
      <x:c r="G30" s="40" t="str"/>
      <x:c r="H30" t="str"/>
      <x:c r="I30" t="str"/>
    </x:row>
    <x:row r="31">
      <x:c r="A31" t="str">
        <x:v>D&amp;A</x:v>
      </x:c>
      <x:c r="B31" s="36" t="n">
        <x:f>'Historical Financials'!D52</x:f>
        <x:v>26.145</x:v>
      </x:c>
      <x:c r="C31" s="40" t="n">
        <x:f>C5*Inputs!B15</x:f>
        <x:v>36.2511126</x:v>
      </x:c>
      <x:c r="D31" s="40" t="n">
        <x:f>D5*Inputs!C15</x:f>
        <x:v>46.401424128</x:v>
      </x:c>
      <x:c r="E31" s="40" t="n">
        <x:f>E5*Inputs!D15</x:f>
        <x:v>56.609737436159996</x:v>
      </x:c>
      <x:c r="F31" s="40" t="n">
        <x:f>F5*Inputs!E15</x:f>
        <x:v>66.79949017466879</x:v>
      </x:c>
      <x:c r="G31" s="40" t="n">
        <x:f>G5*Inputs!F15</x:f>
        <x:v>76.8194137008691</x:v>
      </x:c>
      <x:c r="H31" t="str">
        <x:v>D&amp;A % revenue</x:v>
      </x:c>
      <x:c r="I31" t="str"/>
    </x:row>
    <x:row r="32">
      <x:c r="A32" t="str">
        <x:v>Stock-based compensation</x:v>
      </x:c>
      <x:c r="B32" s="36" t="n">
        <x:f>'Historical Financials'!D53</x:f>
        <x:v>684.033</x:v>
      </x:c>
      <x:c r="C32" s="40" t="n">
        <x:f>C5*Inputs!B16</x:f>
        <x:v>815.6500335000001</x:v>
      </x:c>
      <x:c r="D32" s="40" t="n">
        <x:f>D5*Inputs!C16</x:f>
        <x:v>889.36062912</x:v>
      </x:c>
      <x:c r="E32" s="40" t="n">
        <x:f>E5*Inputs!D16</x:f>
        <x:v>896.3208427391999</x:v>
      </x:c>
      <x:c r="F32" s="40" t="n">
        <x:f>F5*Inputs!E16</x:f>
        <x:v>890.6598689955838</x:v>
      </x:c>
      <x:c r="G32" s="40" t="n">
        <x:f>G5*Inputs!F16</x:f>
        <x:v>832.2103150927486</x:v>
      </x:c>
      <x:c r="H32" t="str">
        <x:v>SBC % revenue</x:v>
      </x:c>
      <x:c r="I32" t="str"/>
    </x:row>
    <x:row r="33">
      <x:c r="A33" t="str">
        <x:v>Working capital / other operating changes</x:v>
      </x:c>
      <x:c r="B33" s="36" t="n">
        <x:f>0</x:f>
        <x:v>0</x:v>
      </x:c>
      <x:c r="C33" s="40" t="n">
        <x:f>C52-B52-(C42-B42)</x:f>
        <x:v>-199.92870392465755</x:v>
      </x:c>
      <x:c r="D33" s="40" t="n">
        <x:f>D52-C52-(D42-C42)</x:f>
        <x:v>-208.35285584301369</x:v>
      </x:c>
      <x:c r="E33" s="40" t="n">
        <x:f>E52-D52-(E42-D42)</x:f>
        <x:v>-224.58077399303</x:v>
      </x:c>
      <x:c r="F33" s="40" t="n">
        <x:f>F52-E52-(F42-E42)</x:f>
        <x:v>-222.53572127301436</x:v>
      </x:c>
      <x:c r="G33" s="40" t="n">
        <x:f>G52-F52-(G42-F42)</x:f>
        <x:v>-182.05911277628047</x:v>
      </x:c>
      <x:c r="H33" t="str">
        <x:v>Simplified operating working-capital bridge</x:v>
      </x:c>
      <x:c r="I33" t="str"/>
    </x:row>
    <x:row r="34">
      <x:c r="A34" t="str">
        <x:v>Net cash provided by operating activities</x:v>
      </x:c>
      <x:c r="B34" s="36" t="n">
        <x:f>'Historical Financials'!D56</x:f>
        <x:v>2134.473</x:v>
      </x:c>
      <x:c r="C34" s="40" t="n">
        <x:f>C24+C31+C32+C33</x:f>
        <x:v>2844.50396868</x:v>
      </x:c>
      <x:c r="D34" s="40" t="n">
        <x:f>D24+D31+D32+D33</x:f>
        <x:v>3617.3776893119993</x:v>
      </x:c>
      <x:c r="E34" s="40" t="n">
        <x:f>E24+E31+E32+E33</x:f>
        <x:v>4294.792080156671</x:v>
      </x:c>
      <x:c r="F34" s="40" t="n">
        <x:f>F24+F31+F32+F33</x:f>
        <x:v>5015.528387281381</x:v>
      </x:c>
      <x:c r="G34" s="40" t="n">
        <x:f>G24+G31+G32+G33</x:f>
        <x:v>5697.439849481126</x:v>
      </x:c>
      <x:c r="H34" t="str">
        <x:v>Formula</x:v>
      </x:c>
      <x:c r="I34" t="str"/>
    </x:row>
    <x:row r="35">
      <x:c r="A35" t="str">
        <x:v>Capex</x:v>
      </x:c>
      <x:c r="B35" s="36" t="n">
        <x:f>'Historical Financials'!D57</x:f>
        <x:v>-33.882</x:v>
      </x:c>
      <x:c r="C35" s="40" t="n">
        <x:f>-C5*Inputs!B14</x:f>
        <x:v>-48.3348168</x:v>
      </x:c>
      <x:c r="D35" s="40" t="n">
        <x:f>-D5*Inputs!C14</x:f>
        <x:v>-61.868565504</x:v>
      </x:c>
      <x:c r="E35" s="40" t="n">
        <x:f>-E5*Inputs!D14</x:f>
        <x:v>-75.47964991488</x:v>
      </x:c>
      <x:c r="F35" s="40" t="n">
        <x:f>-F5*Inputs!E14</x:f>
        <x:v>-89.06598689955838</x:v>
      </x:c>
      <x:c r="G35" s="40" t="n">
        <x:f>-G5*Inputs!F14</x:f>
        <x:v>-102.42588493449213</x:v>
      </x:c>
      <x:c r="H35" t="str">
        <x:v>Capex % revenue</x:v>
      </x:c>
      <x:c r="I35" t="str"/>
    </x:row>
    <x:row r="36">
      <x:c r="A36" t="str">
        <x:v>Free cash flow</x:v>
      </x:c>
      <x:c r="B36" s="36" t="n">
        <x:f>B34+B35</x:f>
        <x:v>2100.591</x:v>
      </x:c>
      <x:c r="C36" s="40" t="n">
        <x:f>C34+C35</x:f>
        <x:v>2796.16915188</x:v>
      </x:c>
      <x:c r="D36" s="40" t="n">
        <x:f>D34+D35</x:f>
        <x:v>3555.5091238079995</x:v>
      </x:c>
      <x:c r="E36" s="40" t="n">
        <x:f>E34+E35</x:f>
        <x:v>4219.312430241791</x:v>
      </x:c>
      <x:c r="F36" s="40" t="n">
        <x:f>F34+F35</x:f>
        <x:v>4926.462400381823</x:v>
      </x:c>
      <x:c r="G36" s="40" t="n">
        <x:f>G34+G35</x:f>
        <x:v>5595.013964546633</x:v>
      </x:c>
      <x:c r="H36" t="str">
        <x:v>CFO less capex</x:v>
      </x:c>
      <x:c r="I36" t="str"/>
    </x:row>
    <x:row r="37">
      <x:c r="A37" t="str">
        <x:v>SBC-adjusted FCF</x:v>
      </x:c>
      <x:c r="B37" s="36" t="n">
        <x:f>B36-B32</x:f>
        <x:v>1416.558</x:v>
      </x:c>
      <x:c r="C37" s="40" t="n">
        <x:f>C36-C32</x:f>
        <x:v>1980.5191183799998</x:v>
      </x:c>
      <x:c r="D37" s="40" t="n">
        <x:f>D36-D32</x:f>
        <x:v>2666.1484946879996</x:v>
      </x:c>
      <x:c r="E37" s="40" t="n">
        <x:f>E36-E32</x:f>
        <x:v>3322.991587502591</x:v>
      </x:c>
      <x:c r="F37" s="40" t="n">
        <x:f>F36-F32</x:f>
        <x:v>4035.802531386239</x:v>
      </x:c>
      <x:c r="G37" s="40" t="n">
        <x:f>G36-G32</x:f>
        <x:v>4762.803649453885</x:v>
      </x:c>
      <x:c r="H37" t="str">
        <x:v>FCF less SBC</x:v>
      </x:c>
      <x:c r="I37" t="str"/>
    </x:row>
    <x:row r="38">
      <x:c r="B38" s="36"/>
      <x:c r="C38" s="40"/>
      <x:c r="D38" s="40"/>
      <x:c r="E38" s="40"/>
      <x:c r="F38" s="40"/>
      <x:c r="G38" s="40"/>
    </x:row>
    <x:row r="39">
      <x:c r="A39" s="14" t="str">
        <x:v>Balance Sheet</x:v>
      </x:c>
      <x:c r="B39" s="36" t="str"/>
      <x:c r="C39" s="40" t="str"/>
      <x:c r="D39" s="40" t="str"/>
      <x:c r="E39" s="40" t="str"/>
      <x:c r="F39" s="40" t="str"/>
      <x:c r="G39" s="40" t="str"/>
      <x:c r="H39" t="str"/>
      <x:c r="I39" t="str"/>
    </x:row>
    <x:row r="40">
      <x:c r="A40" t="str">
        <x:v>Cash and cash equivalents</x:v>
      </x:c>
      <x:c r="B40" s="36" t="n">
        <x:f>'Historical Financials'!D22</x:f>
        <x:v>1423.796</x:v>
      </x:c>
      <x:c r="C40" s="48" t="n">
        <x:v>1404.9352437753441</x:v>
      </x:c>
      <x:c r="D40" s="48" t="n">
        <x:v>1331.7568171083294</x:v>
      </x:c>
      <x:c r="E40" s="48" t="n">
        <x:v>1209.1068372114205</x:v>
      </x:c>
      <x:c r="F40" s="48" t="n">
        <x:v>1086.9545032618444</x:v>
      </x:c>
      <x:c r="G40" s="48" t="n">
        <x:v>965.145983600949</x:v>
      </x:c>
      <x:c r="H40" t="str">
        <x:v>Historical actual; forecast cash balancing item</x:v>
      </x:c>
      <x:c r="I40" t="str">
        <x:v>Forecast cash is an explicit balancing item so projected balance sheet ties; historical cash is EDGAR-tied actual.</x:v>
      </x:c>
    </x:row>
    <x:row r="41">
      <x:c r="A41" t="str">
        <x:v>Marketable securities</x:v>
      </x:c>
      <x:c r="B41" s="36" t="n">
        <x:f>'Historical Financials'!D23</x:f>
        <x:v>5753.247</x:v>
      </x:c>
      <x:c r="C41" s="40" t="n">
        <x:f>B41+C36</x:f>
        <x:v>8549.41615188</x:v>
      </x:c>
      <x:c r="D41" s="40" t="n">
        <x:f>C41+D36</x:f>
        <x:v>12104.925275687998</x:v>
      </x:c>
      <x:c r="E41" s="40" t="n">
        <x:f>D41+E36</x:f>
        <x:v>16324.237705929789</x:v>
      </x:c>
      <x:c r="F41" s="40" t="n">
        <x:f>E41+F36</x:f>
        <x:v>21250.70010631161</x:v>
      </x:c>
      <x:c r="G41" s="40" t="n">
        <x:f>F41+G36</x:f>
        <x:v>26845.714070858245</x:v>
      </x:c>
      <x:c r="H41" t="str">
        <x:v>Assumes FCF is invested in securities</x:v>
      </x:c>
      <x:c r="I41" t="str"/>
    </x:row>
    <x:row r="42">
      <x:c r="A42" t="str">
        <x:v>Accounts receivable</x:v>
      </x:c>
      <x:c r="B42" s="36" t="n">
        <x:f>'Historical Financials'!D24</x:f>
        <x:v>1042.065</x:v>
      </x:c>
      <x:c r="C42" s="40" t="n">
        <x:f>C5*Inputs!B17/365</x:f>
        <x:v>1407.0066534246575</x:v>
      </x:c>
      <x:c r="D42" s="40" t="n">
        <x:f>D5*Inputs!C17/365</x:f>
        <x:v>1737.4049216876713</x:v>
      </x:c>
      <x:c r="E42" s="40" t="n">
        <x:f>E5*Inputs!D17/365</x:f>
        <x:v>2067.9356141063013</x:v>
      </x:c>
      <x:c r="F42" s="40" t="n">
        <x:f>F5*Inputs!E17/365</x:f>
        <x:v>2379.1599240292994</x:v>
      </x:c>
      <x:c r="G42" s="40" t="n">
        <x:f>G5*Inputs!F17/365</x:f>
        <x:v>2630.80183907086</x:v>
      </x:c>
      <x:c r="H42" t="str">
        <x:v>AR days</x:v>
      </x:c>
      <x:c r="I42" t="str"/>
    </x:row>
    <x:row r="43">
      <x:c r="A43" t="str">
        <x:v>Prepaids &amp; other current assets</x:v>
      </x:c>
      <x:c r="B43" s="36" t="n">
        <x:f>'Historical Financials'!D25</x:f>
        <x:v>139.066</x:v>
      </x:c>
      <x:c r="C43" s="40" t="n">
        <x:f>C5*Inputs!B18</x:f>
        <x:v>181.255563</x:v>
      </x:c>
      <x:c r="D43" s="40" t="n">
        <x:f>D5*Inputs!C18</x:f>
        <x:v>232.00712063999998</x:v>
      </x:c>
      <x:c r="E43" s="40" t="n">
        <x:f>E5*Inputs!D18</x:f>
        <x:v>283.04868718079996</x:v>
      </x:c>
      <x:c r="F43" s="40" t="n">
        <x:f>F5*Inputs!E18</x:f>
        <x:v>333.9974508733439</x:v>
      </x:c>
      <x:c r="G43" s="40" t="n">
        <x:f>G5*Inputs!F18</x:f>
        <x:v>384.0970685043455</x:v>
      </x:c>
      <x:c r="H43" t="str">
        <x:v>Prepaids % revenue</x:v>
      </x:c>
      <x:c r="I43" t="str"/>
    </x:row>
    <x:row r="44">
      <x:c r="A44" t="str">
        <x:v>Total current assets</x:v>
      </x:c>
      <x:c r="B44" s="36" t="n">
        <x:f>SUM(B40:B43)</x:f>
        <x:v>8358.174</x:v>
      </x:c>
      <x:c r="C44" s="40" t="n">
        <x:f>SUM(C40:C43)</x:f>
        <x:v>11542.613612080002</x:v>
      </x:c>
      <x:c r="D44" s="40" t="n">
        <x:f>SUM(D40:D43)</x:f>
        <x:v>15406.094135124</x:v>
      </x:c>
      <x:c r="E44" s="40" t="n">
        <x:f>SUM(E40:E43)</x:f>
        <x:v>19884.32884442831</x:v>
      </x:c>
      <x:c r="F44" s="40" t="n">
        <x:f>SUM(F40:F43)</x:f>
        <x:v>25050.8119844761</x:v>
      </x:c>
      <x:c r="G44" s="40" t="n">
        <x:f>SUM(G40:G43)</x:f>
        <x:v>30825.7589620344</x:v>
      </x:c>
      <x:c r="H44" t="str">
        <x:v>Formula</x:v>
      </x:c>
      <x:c r="I44" t="str"/>
    </x:row>
    <x:row r="45">
      <x:c r="A45" t="str">
        <x:v>Property and equipment, net</x:v>
      </x:c>
      <x:c r="B45" s="36" t="n">
        <x:f>'Historical Financials'!D27</x:f>
        <x:v>51.96</x:v>
      </x:c>
      <x:c r="C45" s="40" t="n">
        <x:f>B45-C35-C31</x:f>
        <x:v>64.04370420000001</x:v>
      </x:c>
      <x:c r="D45" s="40" t="n">
        <x:f>C45-D35-D31</x:f>
        <x:v>79.51084557600001</x:v>
      </x:c>
      <x:c r="E45" s="40" t="n">
        <x:f>D45-E35-E31</x:f>
        <x:v>98.38075805471999</x:v>
      </x:c>
      <x:c r="F45" s="40" t="n">
        <x:f>E45-F35-F31</x:f>
        <x:v>120.64725477960957</x:v>
      </x:c>
      <x:c r="G45" s="40" t="n">
        <x:f>F45-G35-G31</x:f>
        <x:v>146.2537260132326</x:v>
      </x:c>
      <x:c r="H45" t="str">
        <x:v>PP&amp;E roll-forward: prior PP&amp;E + capex - D&amp;A</x:v>
      </x:c>
      <x:c r="I45" t="str"/>
    </x:row>
    <x:row r="46">
      <x:c r="A46" t="str">
        <x:v>Operating lease ROU assets</x:v>
      </x:c>
      <x:c r="B46" s="36" t="n">
        <x:f>'Historical Financials'!D28</x:f>
        <x:v>200.105</x:v>
      </x:c>
      <x:c r="C46" s="40" t="n">
        <x:f>B46*0.98</x:f>
        <x:v>196.10289999999998</x:v>
      </x:c>
      <x:c r="D46" s="40" t="n">
        <x:f>C46*0.98</x:f>
        <x:v>192.18084199999998</x:v>
      </x:c>
      <x:c r="E46" s="40" t="n">
        <x:f>D46*0.98</x:f>
        <x:v>188.33722515999997</x:v>
      </x:c>
      <x:c r="F46" s="40" t="n">
        <x:f>E46*0.98</x:f>
        <x:v>184.57048065679996</x:v>
      </x:c>
      <x:c r="G46" s="40" t="n">
        <x:f>F46*0.98</x:f>
        <x:v>180.87907104366397</x:v>
      </x:c>
      <x:c r="H46" t="str">
        <x:v>Assumption</x:v>
      </x:c>
      <x:c r="I46" t="str"/>
    </x:row>
    <x:row r="47">
      <x:c r="A47" t="str">
        <x:v>Other assets</x:v>
      </x:c>
      <x:c r="B47" s="36" t="n">
        <x:f>'Historical Financials'!D29</x:f>
        <x:v>290.153</x:v>
      </x:c>
      <x:c r="C47" s="40" t="n">
        <x:f>B47*1.05</x:f>
        <x:v>304.66065000000003</x:v>
      </x:c>
      <x:c r="D47" s="40" t="n">
        <x:f>C47*1.05</x:f>
        <x:v>319.89368250000007</x:v>
      </x:c>
      <x:c r="E47" s="40" t="n">
        <x:f>D47*1.05</x:f>
        <x:v>335.88836662500006</x:v>
      </x:c>
      <x:c r="F47" s="40" t="n">
        <x:f>E47*1.05</x:f>
        <x:v>352.6827849562501</x:v>
      </x:c>
      <x:c r="G47" s="40" t="n">
        <x:f>F47*1.05</x:f>
        <x:v>370.3169242040626</x:v>
      </x:c>
      <x:c r="H47" t="str">
        <x:v>Assumption</x:v>
      </x:c>
      <x:c r="I47" t="str"/>
    </x:row>
    <x:row r="48">
      <x:c r="A48" t="str">
        <x:v>Total assets</x:v>
      </x:c>
      <x:c r="B48" s="36" t="n">
        <x:f>B44+B45+B46+B47</x:f>
        <x:v>8900.392</x:v>
      </x:c>
      <x:c r="C48" s="40" t="n">
        <x:f>C44+C45+C46+C47</x:f>
        <x:v>12107.420866280001</x:v>
      </x:c>
      <x:c r="D48" s="40" t="n">
        <x:f>D44+D45+D46+D47</x:f>
        <x:v>15997.6795052</x:v>
      </x:c>
      <x:c r="E48" s="40" t="n">
        <x:f>E44+E45+E46+E47</x:f>
        <x:v>20506.935194268033</x:v>
      </x:c>
      <x:c r="F48" s="40" t="n">
        <x:f>F44+F45+F46+F47</x:f>
        <x:v>25708.71250486876</x:v>
      </x:c>
      <x:c r="G48" s="40" t="n">
        <x:f>G44+G45+G46+G47</x:f>
        <x:v>31523.20868329536</x:v>
      </x:c>
      <x:c r="H48" t="str">
        <x:v>Formula</x:v>
      </x:c>
      <x:c r="I48" t="str"/>
    </x:row>
    <x:row r="49">
      <x:c r="B49" s="36"/>
      <x:c r="C49" s="40"/>
      <x:c r="D49" s="40"/>
      <x:c r="E49" s="40"/>
      <x:c r="F49" s="40"/>
      <x:c r="G49" s="40"/>
    </x:row>
    <x:row r="50">
      <x:c r="A50" t="str">
        <x:v>Accounts payable</x:v>
      </x:c>
      <x:c r="B50" s="36" t="n">
        <x:f>'Historical Financials'!D31</x:f>
        <x:v>8.064</x:v>
      </x:c>
      <x:c r="C50" s="40" t="n">
        <x:f>C5*0.002</x:f>
        <x:v>12.0837042</x:v>
      </x:c>
      <x:c r="D50" s="40" t="n">
        <x:f>D5*0.002</x:f>
        <x:v>15.467141376</x:v>
      </x:c>
      <x:c r="E50" s="40" t="n">
        <x:f>E5*0.002</x:f>
        <x:v>18.86991247872</x:v>
      </x:c>
      <x:c r="F50" s="40" t="n">
        <x:f>F5*0.002</x:f>
        <x:v>22.266496724889596</x:v>
      </x:c>
      <x:c r="G50" s="40" t="n">
        <x:f>G5*0.002</x:f>
        <x:v>25.606471233623033</x:v>
      </x:c>
      <x:c r="H50" t="str">
        <x:v>Assumption</x:v>
      </x:c>
      <x:c r="I50" t="str"/>
    </x:row>
    <x:row r="51">
      <x:c r="A51" t="str">
        <x:v>Accrued liabilities</x:v>
      </x:c>
      <x:c r="B51" s="36" t="n">
        <x:f>'Historical Financials'!D32</x:f>
        <x:v>355.624</x:v>
      </x:c>
      <x:c r="C51" s="40" t="n">
        <x:f>C5*0.080</x:f>
        <x:v>483.348168</x:v>
      </x:c>
      <x:c r="D51" s="40" t="n">
        <x:f>D5*0.075</x:f>
        <x:v>580.0178016</x:v>
      </x:c>
      <x:c r="E51" s="40" t="n">
        <x:f>E5*0.070</x:f>
        <x:v>660.4469367552</x:v>
      </x:c>
      <x:c r="F51" s="40" t="n">
        <x:f>F5*0.068</x:f>
        <x:v>757.0608886462463</x:v>
      </x:c>
      <x:c r="G51" s="40" t="n">
        <x:f>G5*0.065</x:f>
        <x:v>832.2103150927486</x:v>
      </x:c>
      <x:c r="H51" t="str">
        <x:v>Assumption</x:v>
      </x:c>
      <x:c r="I51" t="str"/>
    </x:row>
    <x:row r="52">
      <x:c r="A52" t="str">
        <x:v>Deferred revenue</x:v>
      </x:c>
      <x:c r="B52" s="36" t="n">
        <x:f>'Historical Financials'!D33</x:f>
        <x:v>408.963</x:v>
      </x:c>
      <x:c r="C52" s="40" t="n">
        <x:f>C5*Inputs!B19</x:f>
        <x:v>573.9759495</x:v>
      </x:c>
      <x:c r="D52" s="40" t="n">
        <x:f>D5*Inputs!C19</x:f>
        <x:v>696.02136192</x:v>
      </x:c>
      <x:c r="E52" s="40" t="n">
        <x:f>E5*Inputs!D19</x:f>
        <x:v>801.9712803456</x:v>
      </x:c>
      <x:c r="F52" s="40" t="n">
        <x:f>F5*Inputs!E19</x:f>
        <x:v>890.6598689955838</x:v>
      </x:c>
      <x:c r="G52" s="40" t="n">
        <x:f>G5*Inputs!F19</x:f>
        <x:v>960.2426712608637</x:v>
      </x:c>
      <x:c r="H52" t="str">
        <x:v>Deferred revenue % revenue</x:v>
      </x:c>
      <x:c r="I52" t="str"/>
    </x:row>
    <x:row r="53">
      <x:c r="A53" t="str">
        <x:v>Customer deposits</x:v>
      </x:c>
      <x:c r="B53" s="36" t="n">
        <x:f>'Historical Financials'!D34</x:f>
        <x:v>357.066</x:v>
      </x:c>
      <x:c r="C53" s="40" t="n">
        <x:f>C5*Inputs!B20</x:f>
        <x:v>453.1389075</x:v>
      </x:c>
      <x:c r="D53" s="40" t="n">
        <x:f>D5*Inputs!C20</x:f>
        <x:v>541.34994816</x:v>
      </x:c>
      <x:c r="E53" s="40" t="n">
        <x:f>E5*Inputs!D20</x:f>
        <x:v>613.2721555584</x:v>
      </x:c>
      <x:c r="F53" s="40" t="n">
        <x:f>F5*Inputs!E20</x:f>
        <x:v>667.9949017466878</x:v>
      </x:c>
      <x:c r="G53" s="40" t="n">
        <x:f>G5*Inputs!F20</x:f>
        <x:v>704.1779589246335</x:v>
      </x:c>
      <x:c r="H53" t="str">
        <x:v>Customer deposits % revenue</x:v>
      </x:c>
      <x:c r="I53" t="str"/>
    </x:row>
    <x:row r="54">
      <x:c r="A54" t="str">
        <x:v>Operating lease liabilities - current</x:v>
      </x:c>
      <x:c r="B54" s="36" t="n">
        <x:f>'Historical Financials'!D35</x:f>
        <x:v>45.864</x:v>
      </x:c>
      <x:c r="C54" s="40" t="n">
        <x:f>B54*0.98</x:f>
        <x:v>44.94672</x:v>
      </x:c>
      <x:c r="D54" s="40" t="n">
        <x:f>C54*0.98</x:f>
        <x:v>44.0477856</x:v>
      </x:c>
      <x:c r="E54" s="40" t="n">
        <x:f>D54*0.98</x:f>
        <x:v>43.166829887999995</x:v>
      </x:c>
      <x:c r="F54" s="40" t="n">
        <x:f>E54*0.98</x:f>
        <x:v>42.30349329023999</x:v>
      </x:c>
      <x:c r="G54" s="40" t="n">
        <x:f>F54*0.98</x:f>
        <x:v>41.45742342443519</x:v>
      </x:c>
      <x:c r="H54" t="str">
        <x:v>Assumption</x:v>
      </x:c>
      <x:c r="I54" t="str"/>
    </x:row>
    <x:row r="55">
      <x:c r="A55" t="str">
        <x:v>Total current liabilities</x:v>
      </x:c>
      <x:c r="B55" s="36" t="n">
        <x:f>SUM(B50:B54)</x:f>
        <x:v>1175.5810000000001</x:v>
      </x:c>
      <x:c r="C55" s="40" t="n">
        <x:f>SUM(C50:C54)</x:f>
        <x:v>1567.4934491999998</x:v>
      </x:c>
      <x:c r="D55" s="40" t="n">
        <x:f>SUM(D50:D54)</x:f>
        <x:v>1876.9040386560002</x:v>
      </x:c>
      <x:c r="E55" s="40" t="n">
        <x:f>SUM(E50:E54)</x:f>
        <x:v>2137.72711502592</x:v>
      </x:c>
      <x:c r="F55" s="40" t="n">
        <x:f>SUM(F50:F54)</x:f>
        <x:v>2380.2856494036478</x:v>
      </x:c>
      <x:c r="G55" s="40" t="n">
        <x:f>SUM(G50:G54)</x:f>
        <x:v>2563.694839936304</x:v>
      </x:c>
      <x:c r="H55" t="str">
        <x:v>Formula</x:v>
      </x:c>
      <x:c r="I55" t="str"/>
    </x:row>
    <x:row r="56">
      <x:c r="A56" t="str">
        <x:v>Deferred revenue, noncurrent</x:v>
      </x:c>
      <x:c r="B56" s="36" t="n">
        <x:f>'Historical Financials'!D37</x:f>
        <x:v>46.216</x:v>
      </x:c>
      <x:c r="C56" s="40" t="n">
        <x:f>C5*0.010</x:f>
        <x:v>60.418521</x:v>
      </x:c>
      <x:c r="D56" s="40" t="n">
        <x:f>D5*0.010</x:f>
        <x:v>77.33570688</x:v>
      </x:c>
      <x:c r="E56" s="40" t="n">
        <x:f>E5*0.010</x:f>
        <x:v>94.3495623936</x:v>
      </x:c>
      <x:c r="F56" s="40" t="n">
        <x:f>F5*0.010</x:f>
        <x:v>111.33248362444797</x:v>
      </x:c>
      <x:c r="G56" s="40" t="n">
        <x:f>G5*0.010</x:f>
        <x:v>128.03235616811517</x:v>
      </x:c>
      <x:c r="H56" t="str">
        <x:v>Assumption</x:v>
      </x:c>
      <x:c r="I56" t="str"/>
    </x:row>
    <x:row r="57">
      <x:c r="A57" t="str">
        <x:v>Customer deposits, noncurrent</x:v>
      </x:c>
      <x:c r="B57" s="36" t="n">
        <x:f>'Historical Financials'!D38</x:f>
        <x:v>0.018</x:v>
      </x:c>
      <x:c r="C57" s="40" t="n">
        <x:f>B57</x:f>
        <x:v>0.018</x:v>
      </x:c>
      <x:c r="D57" s="40" t="n">
        <x:f>C57</x:f>
        <x:v>0.018</x:v>
      </x:c>
      <x:c r="E57" s="40" t="n">
        <x:f>D57</x:f>
        <x:v>0.018</x:v>
      </x:c>
      <x:c r="F57" s="40" t="n">
        <x:f>E57</x:f>
        <x:v>0.018</x:v>
      </x:c>
      <x:c r="G57" s="40" t="n">
        <x:f>F57</x:f>
        <x:v>0.018</x:v>
      </x:c>
      <x:c r="H57" t="str">
        <x:v>Assumption</x:v>
      </x:c>
      <x:c r="I57" t="str"/>
    </x:row>
    <x:row r="58">
      <x:c r="A58" t="str">
        <x:v>Operating lease liabilities, noncurrent</x:v>
      </x:c>
      <x:c r="B58" s="36" t="n">
        <x:f>'Historical Financials'!D39</x:f>
        <x:v>183.474</x:v>
      </x:c>
      <x:c r="C58" s="40" t="n">
        <x:f>B58*0.96</x:f>
        <x:v>176.13503999999998</x:v>
      </x:c>
      <x:c r="D58" s="40" t="n">
        <x:f>C58*0.96</x:f>
        <x:v>169.08963839999996</x:v>
      </x:c>
      <x:c r="E58" s="40" t="n">
        <x:f>D58*0.96</x:f>
        <x:v>162.32605286399996</x:v>
      </x:c>
      <x:c r="F58" s="40" t="n">
        <x:f>E58*0.96</x:f>
        <x:v>155.83301074943995</x:v>
      </x:c>
      <x:c r="G58" s="40" t="n">
        <x:f>F58*0.96</x:f>
        <x:v>149.59969031946235</x:v>
      </x:c>
      <x:c r="H58" t="str">
        <x:v>Assumption</x:v>
      </x:c>
      <x:c r="I58" t="str"/>
    </x:row>
    <x:row r="59">
      <x:c r="A59" t="str">
        <x:v>Other noncurrent liabilities</x:v>
      </x:c>
      <x:c r="B59" s="36" t="n">
        <x:f>'Historical Financials'!D40</x:f>
        <x:v>7.092</x:v>
      </x:c>
      <x:c r="C59" s="40" t="n">
        <x:f>B59</x:f>
        <x:v>7.092</x:v>
      </x:c>
      <x:c r="D59" s="40" t="n">
        <x:f>C59</x:f>
        <x:v>7.092</x:v>
      </x:c>
      <x:c r="E59" s="40" t="n">
        <x:f>D59</x:f>
        <x:v>7.092</x:v>
      </x:c>
      <x:c r="F59" s="40" t="n">
        <x:f>E59</x:f>
        <x:v>7.092</x:v>
      </x:c>
      <x:c r="G59" s="40" t="n">
        <x:f>F59</x:f>
        <x:v>7.092</x:v>
      </x:c>
      <x:c r="H59" t="str">
        <x:v>Assumption</x:v>
      </x:c>
      <x:c r="I59" t="str"/>
    </x:row>
    <x:row r="60">
      <x:c r="A60" t="str">
        <x:v>Total liabilities</x:v>
      </x:c>
      <x:c r="B60" s="36" t="n">
        <x:f>B55+SUM(B56:B59)</x:f>
        <x:v>1412.381</x:v>
      </x:c>
      <x:c r="C60" s="40" t="n">
        <x:f>C55+SUM(C56:C59)</x:f>
        <x:v>1811.1570101999998</x:v>
      </x:c>
      <x:c r="D60" s="40" t="n">
        <x:f>D55+SUM(D56:D59)</x:f>
        <x:v>2130.439383936</x:v>
      </x:c>
      <x:c r="E60" s="40" t="n">
        <x:f>E55+SUM(E56:E59)</x:f>
        <x:v>2401.51273028352</x:v>
      </x:c>
      <x:c r="F60" s="40" t="n">
        <x:f>F55+SUM(F56:F59)</x:f>
        <x:v>2654.5611437775356</x:v>
      </x:c>
      <x:c r="G60" s="40" t="n">
        <x:f>G55+SUM(G56:G59)</x:f>
        <x:v>2848.436886423882</x:v>
      </x:c>
      <x:c r="H60" t="str">
        <x:v>Formula</x:v>
      </x:c>
      <x:c r="I60" t="str"/>
    </x:row>
    <x:row r="61">
      <x:c r="B61" s="36"/>
      <x:c r="C61" s="40"/>
      <x:c r="D61" s="40"/>
      <x:c r="E61" s="40"/>
      <x:c r="F61" s="40"/>
      <x:c r="G61" s="40"/>
    </x:row>
    <x:row r="62">
      <x:c r="A62" t="str">
        <x:v>Common stock</x:v>
      </x:c>
      <x:c r="B62" s="36" t="n">
        <x:f>'Historical Financials'!D42</x:f>
        <x:v>2.391</x:v>
      </x:c>
      <x:c r="C62" s="40" t="n">
        <x:f>B62</x:f>
        <x:v>2.391</x:v>
      </x:c>
      <x:c r="D62" s="40" t="n">
        <x:f>C62</x:f>
        <x:v>2.391</x:v>
      </x:c>
      <x:c r="E62" s="40" t="n">
        <x:f>D62</x:f>
        <x:v>2.391</x:v>
      </x:c>
      <x:c r="F62" s="40" t="n">
        <x:f>E62</x:f>
        <x:v>2.391</x:v>
      </x:c>
      <x:c r="G62" s="40" t="n">
        <x:f>F62</x:f>
        <x:v>2.391</x:v>
      </x:c>
      <x:c r="H62" t="str">
        <x:v>Assumption</x:v>
      </x:c>
      <x:c r="I62" t="str"/>
    </x:row>
    <x:row r="63">
      <x:c r="A63" t="str">
        <x:v>Additional paid-in capital</x:v>
      </x:c>
      <x:c r="B63" s="36" t="n">
        <x:f>'Historical Financials'!D43</x:f>
        <x:v>10933.325</x:v>
      </x:c>
      <x:c r="C63" s="40" t="n">
        <x:f>B63+C32</x:f>
        <x:v>11748.9750335</x:v>
      </x:c>
      <x:c r="D63" s="40" t="n">
        <x:f>C63+D32</x:f>
        <x:v>12638.33566262</x:v>
      </x:c>
      <x:c r="E63" s="40" t="n">
        <x:f>D63+E32</x:f>
        <x:v>13534.6565053592</x:v>
      </x:c>
      <x:c r="F63" s="40" t="n">
        <x:f>E63+F32</x:f>
        <x:v>14425.316374354785</x:v>
      </x:c>
      <x:c r="G63" s="40" t="n">
        <x:f>F63+G32</x:f>
        <x:v>15257.526689447533</x:v>
      </x:c>
      <x:c r="H63" t="str">
        <x:v>Adds forecast SBC</x:v>
      </x:c>
      <x:c r="I63" t="str"/>
    </x:row>
    <x:row r="64">
      <x:c r="A64" t="str">
        <x:v>AOCI / (loss), net</x:v>
      </x:c>
      <x:c r="B64" s="36" t="n">
        <x:f>'Historical Financials'!D44</x:f>
        <x:v>13.942</x:v>
      </x:c>
      <x:c r="C64" s="40" t="n">
        <x:f>B64</x:f>
        <x:v>13.942</x:v>
      </x:c>
      <x:c r="D64" s="40" t="n">
        <x:f>C64</x:f>
        <x:v>13.942</x:v>
      </x:c>
      <x:c r="E64" s="40" t="n">
        <x:f>D64</x:f>
        <x:v>13.942</x:v>
      </x:c>
      <x:c r="F64" s="40" t="n">
        <x:f>E64</x:f>
        <x:v>13.942</x:v>
      </x:c>
      <x:c r="G64" s="40" t="n">
        <x:f>F64</x:f>
        <x:v>13.942</x:v>
      </x:c>
      <x:c r="H64" t="str">
        <x:v>Assumption</x:v>
      </x:c>
      <x:c r="I64" t="str"/>
    </x:row>
    <x:row r="65">
      <x:c r="A65" t="str">
        <x:v>Accumulated deficit</x:v>
      </x:c>
      <x:c r="B65" s="36" t="n">
        <x:f>'Historical Financials'!D45</x:f>
        <x:v>-3562.39</x:v>
      </x:c>
      <x:c r="C65" s="40" t="n">
        <x:f>B65+C26</x:f>
        <x:v>-1581.7427943554799</x:v>
      </x:c>
      <x:c r="D65" s="40" t="n">
        <x:f>C65+D26</x:f>
        <x:v>1083.7831478921353</x:v>
      </x:c>
      <x:c r="E65" s="40" t="n">
        <x:f>D65+E26</x:f>
        <x:v>4405.5934788735585</x:v>
      </x:c>
      <x:c r="F65" s="40" t="n">
        <x:f>E65+F26</x:f>
        <x:v>8439.314092816021</x:v>
      </x:c>
      <x:c r="G65" s="40" t="n">
        <x:f>F65+G26</x:f>
        <x:v>13198.993752779403</x:v>
      </x:c>
      <x:c r="H65" t="str">
        <x:v>Adds net income attributable; no dividends assumed</x:v>
      </x:c>
      <x:c r="I65" t="str"/>
    </x:row>
    <x:row r="66">
      <x:c r="A66" t="str">
        <x:v>Total Palantir stockholders equity</x:v>
      </x:c>
      <x:c r="B66" s="36" t="n">
        <x:f>SUM(B62:B65)</x:f>
        <x:v>7387.268</x:v>
      </x:c>
      <x:c r="C66" s="40" t="n">
        <x:f>SUM(C62:C65)</x:f>
        <x:v>10183.56523914452</x:v>
      </x:c>
      <x:c r="D66" s="40" t="n">
        <x:f>SUM(D62:D65)</x:f>
        <x:v>13738.451810512135</x:v>
      </x:c>
      <x:c r="E66" s="40" t="n">
        <x:f>SUM(E62:E65)</x:f>
        <x:v>17956.58298423276</x:v>
      </x:c>
      <x:c r="F66" s="40" t="n">
        <x:f>SUM(F62:F65)</x:f>
        <x:v>22880.963467170805</x:v>
      </x:c>
      <x:c r="G66" s="40" t="n">
        <x:f>SUM(G62:G65)</x:f>
        <x:v>28472.853442226937</x:v>
      </x:c>
      <x:c r="H66" t="str">
        <x:v>Formula</x:v>
      </x:c>
      <x:c r="I66" t="str"/>
    </x:row>
    <x:row r="67">
      <x:c r="A67" t="str">
        <x:v>Noncontrolling interests</x:v>
      </x:c>
      <x:c r="B67" s="36" t="n">
        <x:f>'Historical Financials'!D47</x:f>
        <x:v>100.743</x:v>
      </x:c>
      <x:c r="C67" s="40" t="n">
        <x:f>B67+C25</x:f>
        <x:v>112.69861693547999</x:v>
      </x:c>
      <x:c r="D67" s="40" t="n">
        <x:f>C67+D25</x:f>
        <x:v>128.78831075186397</x:v>
      </x:c>
      <x:c r="E67" s="40" t="n">
        <x:f>D67+E25</x:f>
        <x:v>148.83947975175184</x:v>
      </x:c>
      <x:c r="F67" s="40" t="n">
        <x:f>E67+F25</x:f>
        <x:v>173.18789392041862</x:v>
      </x:c>
      <x:c r="G67" s="40" t="n">
        <x:f>F67+G25</x:f>
        <x:v>201.91835464454365</x:v>
      </x:c>
      <x:c r="H67" t="str">
        <x:v>Adds NCI income</x:v>
      </x:c>
      <x:c r="I67" t="str"/>
    </x:row>
    <x:row r="68">
      <x:c r="A68" t="str">
        <x:v>Total equity</x:v>
      </x:c>
      <x:c r="B68" s="36" t="n">
        <x:f>B66+B67</x:f>
        <x:v>7488.011</x:v>
      </x:c>
      <x:c r="C68" s="40" t="n">
        <x:f>C66+C67</x:f>
        <x:v>10296.26385608</x:v>
      </x:c>
      <x:c r="D68" s="40" t="n">
        <x:f>D66+D67</x:f>
        <x:v>13867.240121264</x:v>
      </x:c>
      <x:c r="E68" s="40" t="n">
        <x:f>E66+E67</x:f>
        <x:v>18105.42246398451</x:v>
      </x:c>
      <x:c r="F68" s="40" t="n">
        <x:f>F66+F67</x:f>
        <x:v>23054.151361091222</x:v>
      </x:c>
      <x:c r="G68" s="40" t="n">
        <x:f>G66+G67</x:f>
        <x:v>28674.77179687148</x:v>
      </x:c>
      <x:c r="H68" t="str">
        <x:v>Formula</x:v>
      </x:c>
      <x:c r="I68" t="str"/>
    </x:row>
    <x:row r="69">
      <x:c r="A69" t="str">
        <x:v>Total liabilities and equity</x:v>
      </x:c>
      <x:c r="B69" s="36" t="n">
        <x:f>B60+B68</x:f>
        <x:v>8900.392</x:v>
      </x:c>
      <x:c r="C69" s="40" t="n">
        <x:f>C60+C68</x:f>
        <x:v>12107.420866280001</x:v>
      </x:c>
      <x:c r="D69" s="40" t="n">
        <x:f>D60+D68</x:f>
        <x:v>15997.6795052</x:v>
      </x:c>
      <x:c r="E69" s="40" t="n">
        <x:f>E60+E68</x:f>
        <x:v>20506.93519426803</x:v>
      </x:c>
      <x:c r="F69" s="40" t="n">
        <x:f>F60+F68</x:f>
        <x:v>25708.71250486876</x:v>
      </x:c>
      <x:c r="G69" s="40" t="n">
        <x:f>G60+G68</x:f>
        <x:v>31523.20868329536</x:v>
      </x:c>
      <x:c r="H69" t="str">
        <x:v>Formula</x:v>
      </x:c>
      <x:c r="I69" t="str"/>
    </x:row>
    <x:row r="70">
      <x:c r="A70" t="str">
        <x:v>Balance check</x:v>
      </x:c>
      <x:c r="B70" s="36" t="n">
        <x:f>B48-B69</x:f>
        <x:v>0</x:v>
      </x:c>
      <x:c r="C70" s="40" t="n">
        <x:f>C48-C69</x:f>
        <x:v>0</x:v>
      </x:c>
      <x:c r="D70" s="40" t="n">
        <x:f>D48-D69</x:f>
        <x:v>0</x:v>
      </x:c>
      <x:c r="E70" s="40" t="n">
        <x:f>E48-E69</x:f>
        <x:v>3.637978807091713e-12</x:v>
      </x:c>
      <x:c r="F70" s="40" t="n">
        <x:f>F48-F69</x:f>
        <x:v>0</x:v>
      </x:c>
      <x:c r="G70" s="40" t="n">
        <x:f>G48-G69</x:f>
        <x:v>0</x:v>
      </x:c>
      <x:c r="H70" t="str">
        <x:v>Must be zero; forecast cash is residual item</x:v>
      </x:c>
      <x:c r="I70" t="str"/>
    </x:row>
  </x:sheetData>
  <x:mergeCells>
    <x:mergeCell ref="A1:I1"/>
    <x:mergeCell ref="A4:I4"/>
    <x:mergeCell ref="A30:I30"/>
    <x:mergeCell ref="A39:I3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.25" hidden="0" customWidth="1"/>
    <x:col min="3" max="3" width="10.25" hidden="0" customWidth="1"/>
    <x:col min="4" max="4" width="10.25" hidden="0" customWidth="1"/>
    <x:col min="5" max="5" width="10.25" hidden="0" customWidth="1"/>
    <x:col min="6" max="6" width="10.25" hidden="0" customWidth="1"/>
    <x:col min="7" max="7" width="10.25" hidden="0" customWidth="1"/>
    <x:col min="8" max="8" width="40" hidden="0" customWidth="1"/>
  </x:cols>
  <x:sheetData>
    <x:row r="1">
      <x:c r="A1" s="4" t="str">
        <x:v>Palantir DCF Valuation</x:v>
      </x:c>
      <x:c r="B1" t="str"/>
      <x:c r="C1" t="str"/>
      <x:c r="D1" t="str"/>
      <x:c r="E1" t="str"/>
      <x:c r="F1" t="str"/>
      <x:c r="G1" t="str"/>
      <x:c r="H1" t="str"/>
    </x:row>
    <x:row r="3">
      <x:c r="A3" s="18" t="str">
        <x:v>$mm except per share</x:v>
      </x:c>
      <x:c r="B3" s="18" t="str">
        <x:v>2026E</x:v>
      </x:c>
      <x:c r="C3" s="18" t="str">
        <x:v>2027E</x:v>
      </x:c>
      <x:c r="D3" s="18" t="str">
        <x:v>2028E</x:v>
      </x:c>
      <x:c r="E3" s="18" t="str">
        <x:v>2029E</x:v>
      </x:c>
      <x:c r="F3" s="18" t="str">
        <x:v>2030E</x:v>
      </x:c>
      <x:c r="G3" s="18" t="str">
        <x:v>Terminal</x:v>
      </x:c>
      <x:c r="H3" s="18" t="str">
        <x:v>Notes</x:v>
      </x:c>
    </x:row>
    <x:row r="4">
      <x:c r="A4" t="str">
        <x:v>Revenue</x:v>
      </x:c>
      <x:c r="B4" s="30" t="n">
        <x:f>'Forecast Model'!C5</x:f>
        <x:v>6041.8521</x:v>
      </x:c>
      <x:c r="C4" s="30" t="n">
        <x:f>'Forecast Model'!D5</x:f>
        <x:v>7733.570688</x:v>
      </x:c>
      <x:c r="D4" s="30" t="n">
        <x:f>'Forecast Model'!E5</x:f>
        <x:v>9434.956239359999</x:v>
      </x:c>
      <x:c r="E4" s="30" t="n">
        <x:f>'Forecast Model'!F5</x:f>
        <x:v>11133.248362444798</x:v>
      </x:c>
      <x:c r="F4" s="30" t="n">
        <x:f>'Forecast Model'!G5</x:f>
        <x:v>12803.235616811517</x:v>
      </x:c>
      <x:c r="G4" s="30" t="str"/>
      <x:c r="H4" t="str"/>
    </x:row>
    <x:row r="5">
      <x:c r="A5" t="str">
        <x:v>EBIT</x:v>
      </x:c>
      <x:c r="B5" s="30" t="n">
        <x:f>'Forecast Model'!C17</x:f>
        <x:v>2054.229714</x:v>
      </x:c>
      <x:c r="C5" s="30" t="n">
        <x:f>'Forecast Model'!D17</x:f>
        <x:v>2822.7533011199994</x:v>
      </x:c>
      <x:c r="D5" s="30" t="n">
        <x:f>'Forecast Model'!E17</x:f>
        <x:v>3632.4581521535993</x:v>
      </x:c>
      <x:c r="E5" s="30" t="n">
        <x:f>'Forecast Model'!F17</x:f>
        <x:v>4508.965586790143</x:v>
      </x:c>
      <x:c r="F5" s="30" t="n">
        <x:f>'Forecast Model'!G17</x:f>
        <x:v>5441.375137144895</x:v>
      </x:c>
      <x:c r="G5" s="30" t="str"/>
      <x:c r="H5" t="str"/>
    </x:row>
    <x:row r="6">
      <x:c r="A6" t="str">
        <x:v>Tax rate</x:v>
      </x:c>
      <x:c r="B6" s="34" t="n">
        <x:f>'Forecast Model'!C23</x:f>
        <x:v>0.03</x:v>
      </x:c>
      <x:c r="C6" s="34" t="n">
        <x:f>'Forecast Model'!D23</x:f>
        <x:v>0.05</x:v>
      </x:c>
      <x:c r="D6" s="34" t="n">
        <x:f>'Forecast Model'!E23</x:f>
        <x:v>0.08000000000000002</x:v>
      </x:c>
      <x:c r="E6" s="34" t="n">
        <x:f>'Forecast Model'!F23</x:f>
        <x:v>0.1</x:v>
      </x:c>
      <x:c r="F6" s="34" t="n">
        <x:f>'Forecast Model'!G23</x:f>
        <x:v>0.12</x:v>
      </x:c>
      <x:c r="G6" s="30" t="str"/>
      <x:c r="H6" t="str"/>
    </x:row>
    <x:row r="7">
      <x:c r="A7" t="str">
        <x:v>NOPAT</x:v>
      </x:c>
      <x:c r="B7" s="30" t="n">
        <x:f>B5*(1-B6)</x:f>
        <x:v>1992.60282258</x:v>
      </x:c>
      <x:c r="C7" s="30" t="n">
        <x:f>C5*(1-C6)</x:f>
        <x:v>2681.6156360639993</x:v>
      </x:c>
      <x:c r="D7" s="30" t="n">
        <x:f>D5*(1-D6)</x:f>
        <x:v>3341.861499981311</x:v>
      </x:c>
      <x:c r="E7" s="30" t="n">
        <x:f>E5*(1-E6)</x:f>
        <x:v>4058.069028111129</x:v>
      </x:c>
      <x:c r="F7" s="30" t="n">
        <x:f>F5*(1-F6)</x:f>
        <x:v>4788.4101206875075</x:v>
      </x:c>
      <x:c r="G7" s="30" t="str"/>
      <x:c r="H7" t="str"/>
    </x:row>
    <x:row r="8">
      <x:c r="A8" t="str">
        <x:v>D&amp;A</x:v>
      </x:c>
      <x:c r="B8" s="30" t="n">
        <x:f>'Forecast Model'!C31</x:f>
        <x:v>36.2511126</x:v>
      </x:c>
      <x:c r="C8" s="30" t="n">
        <x:f>'Forecast Model'!D31</x:f>
        <x:v>46.401424128</x:v>
      </x:c>
      <x:c r="D8" s="30" t="n">
        <x:f>'Forecast Model'!E31</x:f>
        <x:v>56.609737436159996</x:v>
      </x:c>
      <x:c r="E8" s="30" t="n">
        <x:f>'Forecast Model'!F31</x:f>
        <x:v>66.79949017466879</x:v>
      </x:c>
      <x:c r="F8" s="30" t="n">
        <x:f>'Forecast Model'!G31</x:f>
        <x:v>76.8194137008691</x:v>
      </x:c>
      <x:c r="G8" s="30" t="str"/>
      <x:c r="H8" t="str"/>
    </x:row>
    <x:row r="9">
      <x:c r="A9" t="str">
        <x:v>Capex</x:v>
      </x:c>
      <x:c r="B9" s="30" t="n">
        <x:f>'Forecast Model'!C35</x:f>
        <x:v>-48.3348168</x:v>
      </x:c>
      <x:c r="C9" s="30" t="n">
        <x:f>'Forecast Model'!D35</x:f>
        <x:v>-61.868565504</x:v>
      </x:c>
      <x:c r="D9" s="30" t="n">
        <x:f>'Forecast Model'!E35</x:f>
        <x:v>-75.47964991488</x:v>
      </x:c>
      <x:c r="E9" s="30" t="n">
        <x:f>'Forecast Model'!F35</x:f>
        <x:v>-89.06598689955838</x:v>
      </x:c>
      <x:c r="F9" s="30" t="n">
        <x:f>'Forecast Model'!G35</x:f>
        <x:v>-102.42588493449213</x:v>
      </x:c>
      <x:c r="G9" s="30" t="str"/>
      <x:c r="H9" t="str"/>
    </x:row>
    <x:row r="10">
      <x:c r="A10" t="str">
        <x:v>Change in NWC</x:v>
      </x:c>
      <x:c r="B10" s="30" t="n">
        <x:f>-'Forecast Model'!C33</x:f>
        <x:v>199.92870392465755</x:v>
      </x:c>
      <x:c r="C10" s="30" t="n">
        <x:f>-'Forecast Model'!D33</x:f>
        <x:v>208.35285584301369</x:v>
      </x:c>
      <x:c r="D10" s="30" t="n">
        <x:f>-'Forecast Model'!E33</x:f>
        <x:v>224.58077399303</x:v>
      </x:c>
      <x:c r="E10" s="30" t="n">
        <x:f>-'Forecast Model'!F33</x:f>
        <x:v>222.53572127301436</x:v>
      </x:c>
      <x:c r="F10" s="30" t="n">
        <x:f>-'Forecast Model'!G33</x:f>
        <x:v>182.05911277628047</x:v>
      </x:c>
      <x:c r="G10" s="30" t="str"/>
      <x:c r="H10" t="str">
        <x:v>Simplified from forecast working-capital bridge</x:v>
      </x:c>
    </x:row>
    <x:row r="11">
      <x:c r="A11" t="str">
        <x:v>Unlevered FCF</x:v>
      </x:c>
      <x:c r="B11" s="30" t="n">
        <x:f>B7+B8+B9+B10</x:f>
        <x:v>2180.4478223046576</x:v>
      </x:c>
      <x:c r="C11" s="30" t="n">
        <x:f>C7+C8+C9+C10</x:f>
        <x:v>2874.5013505310135</x:v>
      </x:c>
      <x:c r="D11" s="30" t="n">
        <x:f>D7+D8+D9+D10</x:f>
        <x:v>3547.572361495621</x:v>
      </x:c>
      <x:c r="E11" s="30" t="n">
        <x:f>E7+E8+E9+E10</x:f>
        <x:v>4258.338252659253</x:v>
      </x:c>
      <x:c r="F11" s="30" t="n">
        <x:f>F7+F8+F9+F10</x:f>
        <x:v>4944.862762230165</x:v>
      </x:c>
      <x:c r="G11" s="30" t="str"/>
      <x:c r="H11" t="str"/>
    </x:row>
    <x:row r="12">
      <x:c r="A12" t="str">
        <x:v>Discount period</x:v>
      </x:c>
      <x:c r="B12" s="30" t="n">
        <x:v>0.5</x:v>
      </x:c>
      <x:c r="C12" s="30" t="n">
        <x:v>1.5</x:v>
      </x:c>
      <x:c r="D12" s="30" t="n">
        <x:v>2.5</x:v>
      </x:c>
      <x:c r="E12" s="30" t="n">
        <x:v>3.5</x:v>
      </x:c>
      <x:c r="F12" s="30" t="n">
        <x:v>4.5</x:v>
      </x:c>
      <x:c r="G12" s="30" t="str"/>
      <x:c r="H12" t="str">
        <x:v>Mid-year convention</x:v>
      </x:c>
    </x:row>
    <x:row r="13">
      <x:c r="A13" t="str">
        <x:v>WACC</x:v>
      </x:c>
      <x:c r="B13" s="34" t="n">
        <x:f>Inputs!B21</x:f>
        <x:v>0.095</x:v>
      </x:c>
      <x:c r="C13" s="34" t="n">
        <x:f>Inputs!B21</x:f>
        <x:v>0.095</x:v>
      </x:c>
      <x:c r="D13" s="34" t="n">
        <x:f>Inputs!B21</x:f>
        <x:v>0.095</x:v>
      </x:c>
      <x:c r="E13" s="34" t="n">
        <x:f>Inputs!B21</x:f>
        <x:v>0.095</x:v>
      </x:c>
      <x:c r="F13" s="34" t="n">
        <x:f>Inputs!B21</x:f>
        <x:v>0.095</x:v>
      </x:c>
      <x:c r="G13" s="30" t="str"/>
      <x:c r="H13" t="str">
        <x:v>Assumption</x:v>
      </x:c>
    </x:row>
    <x:row r="14">
      <x:c r="A14" t="str">
        <x:v>PV factor</x:v>
      </x:c>
      <x:c r="B14" s="30" t="n">
        <x:f>1/(1+B13)^B12</x:f>
        <x:v>0.9556369651349932</x:v>
      </x:c>
      <x:c r="C14" s="30" t="n">
        <x:f>1/(1+C13)^C12</x:f>
        <x:v>0.8727278220410896</x:v>
      </x:c>
      <x:c r="D14" s="30" t="n">
        <x:f>1/(1+D13)^D12</x:f>
        <x:v>0.797011709626566</x:v>
      </x:c>
      <x:c r="E14" s="30" t="n">
        <x:f>1/(1+E13)^E12</x:f>
        <x:v>0.7278645750014301</x:v>
      </x:c>
      <x:c r="F14" s="30" t="n">
        <x:f>1/(1+F13)^F12</x:f>
        <x:v>0.6647165068506211</x:v>
      </x:c>
      <x:c r="G14" s="30" t="str"/>
      <x:c r="H14" t="str"/>
    </x:row>
    <x:row r="15">
      <x:c r="A15" t="str">
        <x:v>PV of FCF</x:v>
      </x:c>
      <x:c r="B15" s="30" t="n">
        <x:f>B11*B14</x:f>
        <x:v>2083.716539542428</x:v>
      </x:c>
      <x:c r="C15" s="30" t="n">
        <x:f>C11*C14</x:f>
        <x:v>2508.657303103102</x:v>
      </x:c>
      <x:c r="D15" s="30" t="n">
        <x:f>D11*D14</x:f>
        <x:v>2827.4567128595786</x:v>
      </x:c>
      <x:c r="E15" s="30" t="n">
        <x:f>E11*E14</x:f>
        <x:v>3099.4935624841596</x:v>
      </x:c>
      <x:c r="F15" s="30" t="n">
        <x:f>F11*F14</x:f>
        <x:v>3286.9319021653487</x:v>
      </x:c>
      <x:c r="G15" s="30" t="str"/>
      <x:c r="H15" t="str"/>
    </x:row>
    <x:row r="16">
      <x:c r="A16" t="str">
        <x:v>Terminal value</x:v>
      </x:c>
      <x:c r="B16" s="30" t="str"/>
      <x:c r="C16" s="30" t="str"/>
      <x:c r="D16" s="30" t="str"/>
      <x:c r="E16" s="30" t="str"/>
      <x:c r="F16" s="30" t="str"/>
      <x:c r="G16" s="30" t="n">
        <x:f>F11*(1+Inputs!B22)/(Inputs!B21-Inputs!B22)</x:f>
        <x:v>85298.88264847033</x:v>
      </x:c>
      <x:c r="H16" t="str">
        <x:v>Gordon Growth</x:v>
      </x:c>
    </x:row>
    <x:row r="17">
      <x:c r="A17" t="str">
        <x:v>PV of terminal value</x:v>
      </x:c>
      <x:c r="B17" s="30" t="str"/>
      <x:c r="C17" s="30" t="str"/>
      <x:c r="D17" s="30" t="str"/>
      <x:c r="E17" s="30" t="str"/>
      <x:c r="F17" s="30" t="str"/>
      <x:c r="G17" s="30" t="n">
        <x:f>G16/(1+Inputs!B21)^4.5</x:f>
        <x:v>56699.57531235225</x:v>
      </x:c>
      <x:c r="H17" t="str"/>
    </x:row>
    <x:row r="18">
      <x:c r="A18" t="str">
        <x:v>Enterprise value</x:v>
      </x:c>
      <x:c r="B18" s="30" t="str"/>
      <x:c r="C18" s="30" t="str"/>
      <x:c r="D18" s="30" t="str"/>
      <x:c r="E18" s="30" t="str"/>
      <x:c r="F18" s="30" t="str"/>
      <x:c r="G18" s="30" t="n">
        <x:f>SUM(B15:F15)+G17</x:f>
        <x:v>70505.83133250687</x:v>
      </x:c>
      <x:c r="H18" t="str"/>
    </x:row>
    <x:row r="19">
      <x:c r="A19" t="str">
        <x:v>Cash &amp; marketable securities</x:v>
      </x:c>
      <x:c r="B19" s="30" t="str"/>
      <x:c r="C19" s="30" t="str"/>
      <x:c r="D19" s="30" t="str"/>
      <x:c r="E19" s="30" t="str"/>
      <x:c r="F19" s="30" t="str"/>
      <x:c r="G19" s="30" t="n">
        <x:f>Inputs!B23</x:f>
        <x:v>2565.197</x:v>
      </x:c>
      <x:c r="H19" t="str">
        <x:v>FY2025 actual</x:v>
      </x:c>
    </x:row>
    <x:row r="20">
      <x:c r="A20" t="str">
        <x:v>Debt</x:v>
      </x:c>
      <x:c r="B20" s="30" t="str"/>
      <x:c r="C20" s="30" t="str"/>
      <x:c r="D20" s="30" t="str"/>
      <x:c r="E20" s="30" t="str"/>
      <x:c r="F20" s="30" t="str"/>
      <x:c r="G20" s="30" t="n">
        <x:f>Inputs!B24</x:f>
        <x:v>7177.043</x:v>
      </x:c>
      <x:c r="H20" t="str">
        <x:v>FY2025 actual</x:v>
      </x:c>
    </x:row>
    <x:row r="21">
      <x:c r="A21" t="str">
        <x:v>Equity value</x:v>
      </x:c>
      <x:c r="B21" s="30" t="str"/>
      <x:c r="C21" s="30" t="str"/>
      <x:c r="D21" s="30" t="str"/>
      <x:c r="E21" s="30" t="str"/>
      <x:c r="F21" s="30" t="str"/>
      <x:c r="G21" s="30" t="n">
        <x:f>G18+G19-G20</x:f>
        <x:v>65893.98533250687</x:v>
      </x:c>
      <x:c r="H21" t="str"/>
    </x:row>
    <x:row r="22">
      <x:c r="A22" t="str">
        <x:v>Diluted shares</x:v>
      </x:c>
      <x:c r="B22" s="30" t="str"/>
      <x:c r="C22" s="30" t="str"/>
      <x:c r="D22" s="30" t="str"/>
      <x:c r="E22" s="30" t="str"/>
      <x:c r="F22" s="30" t="str"/>
      <x:c r="G22" s="30" t="n">
        <x:f>Inputs!B22</x:f>
        <x:v>0.035</x:v>
      </x:c>
      <x:c r="H22" t="str">
        <x:v>FY2025 diluted shares</x:v>
      </x:c>
    </x:row>
    <x:row r="23">
      <x:c r="A23" t="str">
        <x:v>Implied equity value / share</x:v>
      </x:c>
      <x:c r="B23" s="30" t="str"/>
      <x:c r="C23" s="30" t="str"/>
      <x:c r="D23" s="30" t="str"/>
      <x:c r="E23" s="30" t="str"/>
      <x:c r="F23" s="30" t="str"/>
      <x:c r="G23" s="44" t="n">
        <x:f>G21/G22</x:f>
        <x:v>1882685.295214482</x:v>
      </x:c>
      <x:c r="H23" t="str"/>
    </x:row>
    <x:row r="27">
      <x:c r="A27" s="14" t="str">
        <x:v>Sensitivity: Implied Equity Value / Share</x:v>
      </x:c>
      <x:c r="B27" t="str"/>
      <x:c r="C27" t="str"/>
      <x:c r="D27" t="str"/>
      <x:c r="E27" t="str"/>
      <x:c r="F27" t="str"/>
      <x:c r="G27" t="str"/>
      <x:c r="H27" t="str"/>
    </x:row>
    <x:row r="28">
      <x:c r="A28" t="str">
        <x:v>WACC \ g</x:v>
      </x:c>
      <x:c r="B28" t="n">
        <x:v>0.025</x:v>
      </x:c>
      <x:c r="C28" t="n">
        <x:v>0.03</x:v>
      </x:c>
      <x:c r="D28" t="n">
        <x:v>0.035</x:v>
      </x:c>
      <x:c r="E28" t="n">
        <x:v>0.04</x:v>
      </x:c>
      <x:c r="F28" t="n">
        <x:v>0.045</x:v>
      </x:c>
    </x:row>
    <x:row r="29">
      <x:c r="A29" t="n">
        <x:v>0.085</x:v>
      </x:c>
      <x:c r="B29" s="44" t="n">
        <x:f>(SUM($B$15:$F$15)+($F$11*(1+B$28)/($A29-B$28))/(1+$A29)^4.5+$G$19-$G$20)/$G$22</x:f>
        <x:v>1934653.997148821</x:v>
      </x:c>
      <x:c r="C29" s="44" t="n">
        <x:f>(SUM($B$15:$F$15)+($F$11*(1+C$28)/($A29-C$28))/(1+$A29)^4.5+$G$19-$G$20)/$G$22</x:f>
        <x:v>2095547.3786372186</x:v>
      </x:c>
      <x:c r="D29" s="44" t="n">
        <x:f>(SUM($B$15:$F$15)+($F$11*(1+D$28)/($A29-D$28))/(1+$A29)^4.5+$G$19-$G$20)/$G$22</x:f>
        <x:v>2288619.4364232947</x:v>
      </x:c>
      <x:c r="E29" s="44" t="n">
        <x:f>(SUM($B$15:$F$15)+($F$11*(1+E$28)/($A29-E$28))/(1+$A29)^4.5+$G$19-$G$20)/$G$22</x:f>
        <x:v>2524596.3959396114</x:v>
      </x:c>
      <x:c r="F29" s="44" t="n">
        <x:f>(SUM($B$15:$F$15)+($F$11*(1+F$28)/($A29-F$28))/(1+$A29)^4.5+$G$19-$G$20)/$G$22</x:f>
        <x:v>2819567.5953350053</x:v>
      </x:c>
    </x:row>
    <x:row r="30">
      <x:c r="A30" t="n">
        <x:v>0.09</x:v>
      </x:c>
      <x:c r="B30" s="44" t="n">
        <x:f>(SUM($B$15:$F$15)+($F$11*(1+B$28)/($A30-B$28))/(1+$A30)^4.5+$G$19-$G$20)/$G$22</x:f>
        <x:v>1774438.6894221846</x:v>
      </x:c>
      <x:c r="C30" s="44" t="n">
        <x:f>(SUM($B$15:$F$15)+($F$11*(1+C$28)/($A30-C$28))/(1+$A30)^4.5+$G$19-$G$20)/$G$22</x:f>
        <x:v>1908406.0043571158</x:v>
      </x:c>
      <x:c r="D30" s="44" t="n">
        <x:f>(SUM($B$15:$F$15)+($F$11*(1+D$28)/($A30-D$28))/(1+$A30)^4.5+$G$19-$G$20)/$G$22</x:f>
        <x:v>2066731.0129165794</x:v>
      </x:c>
      <x:c r="E30" s="44" t="n">
        <x:f>(SUM($B$15:$F$15)+($F$11*(1+E$28)/($A30-E$28))/(1+$A30)^4.5+$G$19-$G$20)/$G$22</x:f>
        <x:v>2256721.0231879363</x:v>
      </x:c>
      <x:c r="F30" s="44" t="n">
        <x:f>(SUM($B$15:$F$15)+($F$11*(1+F$28)/($A30-F$28))/(1+$A30)^4.5+$G$19-$G$20)/$G$22</x:f>
        <x:v>2488931.0357418163</x:v>
      </x:c>
    </x:row>
    <x:row r="31">
      <x:c r="A31" t="n">
        <x:v>0.095</x:v>
      </x:c>
      <x:c r="B31" s="44" t="n">
        <x:f>(SUM($B$15:$F$15)+($F$11*(1+B$28)/($A31-B$28))/(1+$A31)^4.5+$G$19-$G$20)/$G$22</x:f>
        <x:v>1637842.4086246141</x:v>
      </x:c>
      <x:c r="C31" s="44" t="n">
        <x:f>(SUM($B$15:$F$15)+($F$11*(1+C$28)/($A31-C$28))/(1+$A31)^4.5+$G$19-$G$20)/$G$22</x:f>
        <x:v>1750846.817819938</x:v>
      </x:c>
      <x:c r="D31" s="44" t="n">
        <x:f>(SUM($B$15:$F$15)+($F$11*(1+D$28)/($A31-D$28))/(1+$A31)^4.5+$G$19-$G$20)/$G$22</x:f>
        <x:v>1882685.295214482</x:v>
      </x:c>
      <x:c r="E31" s="44" t="n">
        <x:f>(SUM($B$15:$F$15)+($F$11*(1+E$28)/($A31-E$28))/(1+$A31)^4.5+$G$19-$G$20)/$G$22</x:f>
        <x:v>2038494.4048625797</x:v>
      </x:c>
      <x:c r="F31" s="44" t="n">
        <x:f>(SUM($B$15:$F$15)+($F$11*(1+F$28)/($A31-F$28))/(1+$A31)^4.5+$G$19-$G$20)/$G$22</x:f>
        <x:v>2225465.3364402964</x:v>
      </x:c>
    </x:row>
    <x:row r="32">
      <x:c r="A32" t="n">
        <x:v>0.1</x:v>
      </x:c>
      <x:c r="B32" s="44" t="n">
        <x:f>(SUM($B$15:$F$15)+($F$11*(1+B$28)/($A32-B$28))/(1+$A32)^4.5+$G$19-$G$20)/$G$22</x:f>
        <x:v>1520121.348033529</x:v>
      </x:c>
      <x:c r="C32" s="44" t="n">
        <x:f>(SUM($B$15:$F$15)+($F$11*(1+C$28)/($A32-C$28))/(1+$A32)^4.5+$G$19-$G$20)/$G$22</x:f>
        <x:v>1616509.2442547756</x:v>
      </x:c>
      <x:c r="D32" s="44" t="n">
        <x:f>(SUM($B$15:$F$15)+($F$11*(1+D$28)/($A32-D$28))/(1+$A32)^4.5+$G$19-$G$20)/$G$22</x:f>
        <x:v>1727726.0475869824</x:v>
      </x:c>
      <x:c r="E32" s="44" t="n">
        <x:f>(SUM($B$15:$F$15)+($F$11*(1+E$28)/($A32-E$28))/(1+$A32)^4.5+$G$19-$G$20)/$G$22</x:f>
        <x:v>1857478.9848078904</x:v>
      </x:c>
      <x:c r="F32" s="44" t="n">
        <x:f>(SUM($B$15:$F$15)+($F$11*(1+F$28)/($A32-F$28))/(1+$A32)^4.5+$G$19-$G$20)/$G$22</x:f>
        <x:v>2010823.3651598722</x:v>
      </x:c>
    </x:row>
    <x:row r="33">
      <x:c r="A33" t="n">
        <x:v>0.105</x:v>
      </x:c>
      <x:c r="B33" s="44" t="n">
        <x:f>(SUM($B$15:$F$15)+($F$11*(1+B$28)/($A33-B$28))/(1+$A33)^4.5+$G$19-$G$20)/$G$22</x:f>
        <x:v>1417718.2839302402</x:v>
      </x:c>
      <x:c r="C33" s="44" t="n">
        <x:f>(SUM($B$15:$F$15)+($F$11*(1+C$28)/($A33-C$28))/(1+$A33)^4.5+$G$19-$G$20)/$G$22</x:f>
        <x:v>1500729.5388593574</x:v>
      </x:c>
      <x:c r="D33" s="44" t="n">
        <x:f>(SUM($B$15:$F$15)+($F$11*(1+D$28)/($A33-D$28))/(1+$A33)^4.5+$G$19-$G$20)/$G$22</x:f>
        <x:v>1595599.5444926342</x:v>
      </x:c>
      <x:c r="E33" s="44" t="n">
        <x:f>(SUM($B$15:$F$15)+($F$11*(1+E$28)/($A33-E$28))/(1+$A33)^4.5+$G$19-$G$20)/$G$22</x:f>
        <x:v>1705064.9356079537</x:v>
      </x:c>
      <x:c r="F33" s="44" t="n">
        <x:f>(SUM($B$15:$F$15)+($F$11*(1+F$28)/($A33-F$28))/(1+$A33)^4.5+$G$19-$G$20)/$G$22</x:f>
        <x:v>1832774.558575826</x:v>
      </x:c>
    </x:row>
  </x:sheetData>
  <x:mergeCells>
    <x:mergeCell ref="A1:H1"/>
    <x:mergeCell ref="A27:H2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6.130000114440918" hidden="0" customWidth="1"/>
    <x:col min="3" max="3" width="6.130000114440918" hidden="0" customWidth="1"/>
    <x:col min="4" max="4" width="6.130000114440918" hidden="0" customWidth="1"/>
    <x:col min="5" max="5" width="42" hidden="0" customWidth="1"/>
  </x:cols>
  <x:sheetData>
    <x:row r="1">
      <x:c r="A1" s="4" t="str">
        <x:v>Palantir Segment Revenue, Geography, Contribution, and SBC</x:v>
      </x:c>
      <x:c r="B1" t="str"/>
      <x:c r="C1" t="str"/>
      <x:c r="D1" t="str"/>
      <x:c r="E1" t="str"/>
    </x:row>
    <x:row r="3">
      <x:c r="A3" s="18" t="str">
        <x:v>Segment / metric</x:v>
      </x:c>
      <x:c r="B3" s="18" t="str">
        <x:v>2023A</x:v>
      </x:c>
      <x:c r="C3" s="18" t="str">
        <x:v>2024A</x:v>
      </x:c>
      <x:c r="D3" s="18" t="str">
        <x:v>2025A</x:v>
      </x:c>
      <x:c r="E3" s="18" t="str">
        <x:v>Source</x:v>
      </x:c>
    </x:row>
    <x:row r="4">
      <x:c r="A4" t="str">
        <x:v>Government revenue</x:v>
      </x:c>
      <x:c r="B4" s="30" t="n">
        <x:v>1222.215</x:v>
      </x:c>
      <x:c r="C4" s="30" t="n">
        <x:v>1569.605</x:v>
      </x:c>
      <x:c r="D4" s="30" t="n">
        <x:v>2402.287</x:v>
      </x:c>
      <x:c r="E4" t="str">
        <x:v>FY2025 10-K segment note</x:v>
      </x:c>
    </x:row>
    <x:row r="5">
      <x:c r="A5" t="str">
        <x:v>Government contribution</x:v>
      </x:c>
      <x:c r="B5" s="30" t="n">
        <x:v>724.97</x:v>
      </x:c>
      <x:c r="C5" s="30" t="n">
        <x:v>948.44</x:v>
      </x:c>
      <x:c r="D5" s="30" t="n">
        <x:v>1576.07</x:v>
      </x:c>
      <x:c r="E5" t="str">
        <x:v>FY2025 10-K segment note</x:v>
      </x:c>
    </x:row>
    <x:row r="6">
      <x:c r="A6" t="str">
        <x:v>Government contribution margin</x:v>
      </x:c>
      <x:c r="B6" s="34" t="n">
        <x:f>B5/B4</x:f>
        <x:v>0.5931607777682323</x:v>
      </x:c>
      <x:c r="C6" s="34" t="n">
        <x:f>C5/C4</x:f>
        <x:v>0.6042539364999475</x:v>
      </x:c>
      <x:c r="D6" s="34" t="n">
        <x:f>D5/D4</x:f>
        <x:v>0.6560706526738895</x:v>
      </x:c>
      <x:c r="E6" t="str">
        <x:v>Formula</x:v>
      </x:c>
    </x:row>
    <x:row r="7">
      <x:c r="A7" t="str">
        <x:v>Commercial revenue</x:v>
      </x:c>
      <x:c r="B7" s="30" t="n">
        <x:v>1002.797</x:v>
      </x:c>
      <x:c r="C7" s="30" t="n">
        <x:v>1295.902</x:v>
      </x:c>
      <x:c r="D7" s="30" t="n">
        <x:v>2073.159</x:v>
      </x:c>
      <x:c r="E7" t="str">
        <x:v>FY2025 10-K segment note</x:v>
      </x:c>
    </x:row>
    <x:row r="8">
      <x:c r="A8" t="str">
        <x:v>Commercial contribution</x:v>
      </x:c>
      <x:c r="B8" s="30" t="n">
        <x:v>520.585</x:v>
      </x:c>
      <x:c r="C8" s="30" t="n">
        <x:v>771.508</x:v>
      </x:c>
      <x:c r="D8" s="30" t="n">
        <x:v>1366.627</x:v>
      </x:c>
      <x:c r="E8" t="str">
        <x:v>FY2025 10-K segment note</x:v>
      </x:c>
    </x:row>
    <x:row r="9">
      <x:c r="A9" t="str">
        <x:v>Commercial contribution margin</x:v>
      </x:c>
      <x:c r="B9" s="34" t="n">
        <x:f>B8/B7</x:f>
        <x:v>0.5191329850408408</x:v>
      </x:c>
      <x:c r="C9" s="34" t="n">
        <x:f>C8/C7</x:f>
        <x:v>0.5953444010426715</x:v>
      </x:c>
      <x:c r="D9" s="34" t="n">
        <x:f>D8/D7</x:f>
        <x:v>0.6592002832392498</x:v>
      </x:c>
      <x:c r="E9" t="str">
        <x:v>Formula</x:v>
      </x:c>
    </x:row>
    <x:row r="10">
      <x:c r="A10" t="str">
        <x:v>Total contribution</x:v>
      </x:c>
      <x:c r="B10" s="30" t="n">
        <x:v>1245.555</x:v>
      </x:c>
      <x:c r="C10" s="30" t="n">
        <x:v>1719.948</x:v>
      </x:c>
      <x:c r="D10" s="30" t="n">
        <x:v>2942.697</x:v>
      </x:c>
      <x:c r="E10" t="str">
        <x:v>FY2025 10-K segment note</x:v>
      </x:c>
    </x:row>
    <x:row r="11">
      <x:c r="A11" t="str">
        <x:v>Total contribution margin</x:v>
      </x:c>
      <x:c r="B11" s="34" t="n">
        <x:f>B10/(B4+B7)</x:f>
        <x:v>0.5597969808702157</x:v>
      </x:c>
      <x:c r="C11" s="34" t="n">
        <x:f>C10/(C4+C7)</x:f>
        <x:v>0.6002246722831248</x:v>
      </x:c>
      <x:c r="D11" s="34" t="n">
        <x:f>D10/(D4+D7)</x:f>
        <x:v>0.657520390146591</x:v>
      </x:c>
      <x:c r="E11" t="str">
        <x:v>Formula</x:v>
      </x:c>
    </x:row>
    <x:row r="12">
      <x:c r="A12" t="str">
        <x:v>United States revenue</x:v>
      </x:c>
      <x:c r="B12" s="30" t="n">
        <x:v>1378.247</x:v>
      </x:c>
      <x:c r="C12" s="30" t="n">
        <x:v>1900.247</x:v>
      </x:c>
      <x:c r="D12" s="30" t="n">
        <x:v>3320.043</x:v>
      </x:c>
      <x:c r="E12" t="str">
        <x:v>FY2025 10-K geography note</x:v>
      </x:c>
    </x:row>
    <x:row r="13">
      <x:c r="A13" t="str">
        <x:v>United Kingdom revenue</x:v>
      </x:c>
      <x:c r="B13" s="30" t="n">
        <x:v>235.257</x:v>
      </x:c>
      <x:c r="C13" s="30" t="n">
        <x:v>304.575</x:v>
      </x:c>
      <x:c r="D13" s="30" t="n">
        <x:v>427.398</x:v>
      </x:c>
      <x:c r="E13" t="str">
        <x:v>FY2025 10-K geography note</x:v>
      </x:c>
    </x:row>
    <x:row r="14">
      <x:c r="A14" t="str">
        <x:v>Rest of world revenue</x:v>
      </x:c>
      <x:c r="B14" s="30" t="n">
        <x:v>611.508</x:v>
      </x:c>
      <x:c r="C14" s="30" t="n">
        <x:v>660.685</x:v>
      </x:c>
      <x:c r="D14" s="30" t="n">
        <x:v>728.005</x:v>
      </x:c>
      <x:c r="E14" t="str">
        <x:v>FY2025 10-K geography note</x:v>
      </x:c>
    </x:row>
    <x:row r="15">
      <x:c r="A15" t="str">
        <x:v>Total revenue</x:v>
      </x:c>
      <x:c r="B15" s="30" t="n">
        <x:v>2225.012</x:v>
      </x:c>
      <x:c r="C15" s="30" t="n">
        <x:v>2865.507</x:v>
      </x:c>
      <x:c r="D15" s="30" t="n">
        <x:v>4475.446</x:v>
      </x:c>
      <x:c r="E15" t="str">
        <x:v>FY2025 10-K geography note</x:v>
      </x:c>
    </x:row>
    <x:row r="16">
      <x:c r="A16" t="str">
        <x:v>SBC - cost of revenue</x:v>
      </x:c>
      <x:c r="B16" s="30" t="n">
        <x:v>35.995</x:v>
      </x:c>
      <x:c r="C16" s="30" t="n">
        <x:v>69.065</x:v>
      </x:c>
      <x:c r="D16" s="30" t="n">
        <x:v>64.555</x:v>
      </x:c>
      <x:c r="E16" t="str">
        <x:v>FY2025 10-K SBC note</x:v>
      </x:c>
    </x:row>
    <x:row r="17">
      <x:c r="A17" t="str">
        <x:v>SBC - sales &amp; marketing</x:v>
      </x:c>
      <x:c r="B17" s="30" t="n">
        <x:v>160.645</x:v>
      </x:c>
      <x:c r="C17" s="30" t="n">
        <x:v>239.121</x:v>
      </x:c>
      <x:c r="D17" s="30" t="n">
        <x:v>248.732</x:v>
      </x:c>
      <x:c r="E17" t="str">
        <x:v>FY2025 10-K SBC note</x:v>
      </x:c>
    </x:row>
    <x:row r="18">
      <x:c r="A18" t="str">
        <x:v>SBC - R&amp;D</x:v>
      </x:c>
      <x:c r="B18" s="30" t="n">
        <x:v>98.064</x:v>
      </x:c>
      <x:c r="C18" s="30" t="n">
        <x:v>165.065</x:v>
      </x:c>
      <x:c r="D18" s="30" t="n">
        <x:v>136.839</x:v>
      </x:c>
      <x:c r="E18" t="str">
        <x:v>FY2025 10-K SBC note</x:v>
      </x:c>
    </x:row>
    <x:row r="19">
      <x:c r="A19" t="str">
        <x:v>SBC - G&amp;A</x:v>
      </x:c>
      <x:c r="B19" s="30" t="n">
        <x:v>181.199</x:v>
      </x:c>
      <x:c r="C19" s="30" t="n">
        <x:v>218.387</x:v>
      </x:c>
      <x:c r="D19" s="30" t="n">
        <x:v>233.907</x:v>
      </x:c>
      <x:c r="E19" t="str">
        <x:v>FY2025 10-K SBC note</x:v>
      </x:c>
    </x:row>
    <x:row r="20">
      <x:c r="A20" t="str">
        <x:v>Total SBC</x:v>
      </x:c>
      <x:c r="B20" s="30" t="n">
        <x:v>475.903</x:v>
      </x:c>
      <x:c r="C20" s="30" t="n">
        <x:v>691.638</x:v>
      </x:c>
      <x:c r="D20" s="30" t="n">
        <x:v>684.033</x:v>
      </x:c>
      <x:c r="E20" t="str">
        <x:v>FY2025 10-K SBC note</x:v>
      </x:c>
    </x:row>
    <x:row r="21">
      <x:c r="A21" t="str">
        <x:v>SBC % revenue</x:v>
      </x:c>
      <x:c r="B21" s="30">
        <x:f>B21/B16</x:f>
      </x:c>
      <x:c r="C21" s="30">
        <x:f>C21/C16</x:f>
      </x:c>
      <x:c r="D21" s="30">
        <x:f>D21/D16</x:f>
      </x:c>
      <x:c r="E21" t="str">
        <x:v>Formula</x:v>
      </x:c>
    </x:row>
    <x:row r="22">
      <x:c r="B22" s="34"/>
      <x:c r="C22" s="34"/>
      <x:c r="D22" s="34"/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9.130001068115234" hidden="0" customWidth="1"/>
    <x:col min="2" max="2" width="28.75" hidden="0" customWidth="1"/>
    <x:col min="3" max="3" width="70" hidden="0" customWidth="1"/>
    <x:col min="4" max="4" width="42" hidden="0" customWidth="1"/>
    <x:col min="5" max="5" width="48" hidden="0" customWidth="1"/>
  </x:cols>
  <x:sheetData>
    <x:row r="1">
      <x:c r="A1" s="4" t="str">
        <x:v>Source Map — Historical Actuals and Model Inputs</x:v>
      </x:c>
      <x:c r="B1" t="str"/>
      <x:c r="C1" t="str"/>
      <x:c r="D1" t="str"/>
      <x:c r="E1" t="str"/>
    </x:row>
    <x:row r="3">
      <x:c r="A3" s="18" t="str">
        <x:v>Item</x:v>
      </x:c>
      <x:c r="B3" s="18" t="str">
        <x:v>Source</x:v>
      </x:c>
      <x:c r="C3" s="18" t="str">
        <x:v>URL</x:v>
      </x:c>
      <x:c r="D3" s="18" t="str">
        <x:v>Lines / location</x:v>
      </x:c>
      <x:c r="E3" s="18" t="str">
        <x:v>Usage</x:v>
      </x:c>
    </x:row>
    <x:row r="4">
      <x:c r="A4" t="str">
        <x:v>FY2025 10-K PDF</x:v>
      </x:c>
      <x:c r="B4" t="str">
        <x:v>Palantir investor relations / Form 10-K</x:v>
      </x:c>
      <x:c r="C4" t="str">
        <x:v>https://investors.palantir.com/files/2025%20FY%20PLTR%2010-K.pdf</x:v>
      </x:c>
      <x:c r="D4" t="str">
        <x:v>Financial statements pages 84–89; notes pages 98–112</x:v>
      </x:c>
      <x:c r="E4" t="str">
        <x:v>2025/2024 balance sheet; 2023–2025 income statement; cash flows; segment/geography/SBC</x:v>
      </x:c>
    </x:row>
    <x:row r="5">
      <x:c r="A5" t="str">
        <x:v>FY2024 10-K HTML</x:v>
      </x:c>
      <x:c r="B5" t="str">
        <x:v>SEC EDGAR filing</x:v>
      </x:c>
      <x:c r="C5" t="str">
        <x:v>https://www.sec.gov/Archives/edgar/data/1321655/000132165525000022/pltr-20241231.htm</x:v>
      </x:c>
      <x:c r="D5" t="str">
        <x:v>Balance sheet lines 2722–2758</x:v>
      </x:c>
      <x:c r="E5" t="str">
        <x:v>FY2023 balance sheet actuals</x:v>
      </x:c>
    </x:row>
    <x:row r="6">
      <x:c r="A6" t="str">
        <x:v>FY2025 operations table</x:v>
      </x:c>
      <x:c r="B6" t="str">
        <x:v>FY2025 10-K PDF</x:v>
      </x:c>
      <x:c r="C6" t="str">
        <x:v>https://investors.palantir.com/files/2025%20FY%20PLTR%2010-K.pdf</x:v>
      </x:c>
      <x:c r="D6" t="str">
        <x:v>p.85 / lines 4161–4183</x:v>
      </x:c>
      <x:c r="E6" t="str">
        <x:v>Income statement and diluted shares</x:v>
      </x:c>
    </x:row>
    <x:row r="7">
      <x:c r="A7" t="str">
        <x:v>FY2025 cash flows</x:v>
      </x:c>
      <x:c r="B7" t="str">
        <x:v>FY2025 10-K PDF</x:v>
      </x:c>
      <x:c r="C7" t="str">
        <x:v>https://investors.palantir.com/files/2025%20FY%20PLTR%2010-K.pdf</x:v>
      </x:c>
      <x:c r="D7" t="str">
        <x:v>p.88 / lines 4277–4308</x:v>
      </x:c>
      <x:c r="E7" t="str">
        <x:v>Cash flow statement</x:v>
      </x:c>
    </x:row>
    <x:row r="8">
      <x:c r="A8" t="str">
        <x:v>FY2025 balance sheet</x:v>
      </x:c>
      <x:c r="B8" t="str">
        <x:v>FY2025 10-K PDF</x:v>
      </x:c>
      <x:c r="C8" t="str">
        <x:v>https://investors.palantir.com/files/2025%20FY%20PLTR%2010-K.pdf</x:v>
      </x:c>
      <x:c r="D8" t="str">
        <x:v>p.84 / lines 4115–4154</x:v>
      </x:c>
      <x:c r="E8" t="str">
        <x:v>Balance sheet actuals</x:v>
      </x:c>
    </x:row>
    <x:row r="9">
      <x:c r="A9" t="str">
        <x:v>Segment / geographic / SBC notes</x:v>
      </x:c>
      <x:c r="B9" t="str">
        <x:v>FY2025 10-K PDF</x:v>
      </x:c>
      <x:c r="C9" t="str">
        <x:v>https://investors.palantir.com/files/2025%20FY%20PLTR%2010-K.pdf</x:v>
      </x:c>
      <x:c r="D9" t="str">
        <x:v>lines 5403–5435 and 5147–5155</x:v>
      </x:c>
      <x:c r="E9" t="str">
        <x:v>Segment, geography, and SBC tabs</x:v>
      </x:c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5.380000114440918" hidden="0" customWidth="1"/>
    <x:col min="3" max="3" width="5.380000114440918" hidden="0" customWidth="1"/>
    <x:col min="4" max="4" width="5.380000114440918" hidden="0" customWidth="1"/>
    <x:col min="5" max="5" width="13.380000114440918" hidden="0" customWidth="1"/>
    <x:col min="6" max="6" width="5.5" hidden="0" customWidth="1"/>
  </x:cols>
  <x:sheetData>
    <x:row r="1">
      <x:c r="A1" s="4" t="str">
        <x:v>QA Checks</x:v>
      </x:c>
      <x:c r="B1" t="str"/>
      <x:c r="C1" t="str"/>
      <x:c r="D1" t="str"/>
      <x:c r="E1" t="str"/>
      <x:c r="F1" t="str"/>
    </x:row>
    <x:row r="3">
      <x:c r="A3" s="18" t="str">
        <x:v>Check</x:v>
      </x:c>
      <x:c r="B3" s="18" t="str">
        <x:v>2023A</x:v>
      </x:c>
      <x:c r="C3" s="18" t="str">
        <x:v>2024A</x:v>
      </x:c>
      <x:c r="D3" s="18" t="str">
        <x:v>2025A</x:v>
      </x:c>
      <x:c r="E3" s="18" t="str">
        <x:v>Forecast / model</x:v>
      </x:c>
      <x:c r="F3" s="18" t="str">
        <x:v>Status</x:v>
      </x:c>
    </x:row>
    <x:row r="4">
      <x:c r="A4" t="str">
        <x:v>Revenue tie-out</x:v>
      </x:c>
      <x:c r="B4" s="30" t="n">
        <x:f>'Historical Financials'!B5-2225.012</x:f>
        <x:v>0</x:v>
      </x:c>
      <x:c r="C4" s="30" t="n">
        <x:f>'Historical Financials'!C5-2865.507</x:f>
        <x:v>0</x:v>
      </x:c>
      <x:c r="D4" s="30" t="n">
        <x:f>'Historical Financials'!D5-4475.446</x:f>
        <x:v>0</x:v>
      </x:c>
      <x:c r="E4" s="30" t="str"/>
      <x:c r="F4" t="str">
        <x:f>IF(AND(B4=0,C4=0,D4=0),"PASS","CHECK")</x:f>
        <x:v>PASS</x:v>
      </x:c>
    </x:row>
    <x:row r="5">
      <x:c r="A5" t="str">
        <x:v>Operating income tie-out</x:v>
      </x:c>
      <x:c r="B5" s="30" t="n">
        <x:f>'Historical Financials'!B12-119.966</x:f>
        <x:v>0</x:v>
      </x:c>
      <x:c r="C5" s="30" t="n">
        <x:f>'Historical Financials'!C12-310.403</x:f>
        <x:v>0</x:v>
      </x:c>
      <x:c r="D5" s="30" t="n">
        <x:f>'Historical Financials'!D12-1414.015</x:f>
        <x:v>0</x:v>
      </x:c>
      <x:c r="E5" s="30" t="str"/>
      <x:c r="F5" t="str">
        <x:f>IF(AND(B5=0,C5=0,D5=0),"PASS","CHECK")</x:f>
        <x:v>PASS</x:v>
      </x:c>
    </x:row>
    <x:row r="6">
      <x:c r="A6" t="str">
        <x:v>Net income attr. tie-out</x:v>
      </x:c>
      <x:c r="B6" s="30" t="n">
        <x:f>'Historical Financials'!B19-209.825</x:f>
        <x:v>0</x:v>
      </x:c>
      <x:c r="C6" s="30" t="n">
        <x:f>'Historical Financials'!C19-462.190</x:f>
        <x:v>0</x:v>
      </x:c>
      <x:c r="D6" s="30" t="n">
        <x:f>'Historical Financials'!D19-1625.033</x:f>
        <x:v>0</x:v>
      </x:c>
      <x:c r="E6" s="30" t="str"/>
      <x:c r="F6" t="str">
        <x:f>IF(AND(B6=0,C6=0,D6=0),"PASS","CHECK")</x:f>
        <x:v>PASS</x:v>
      </x:c>
    </x:row>
    <x:row r="7">
      <x:c r="A7" t="str">
        <x:v>Total assets tie-out</x:v>
      </x:c>
      <x:c r="B7" s="30" t="n">
        <x:f>'Historical Financials'!B30-4522.425</x:f>
        <x:v>0</x:v>
      </x:c>
      <x:c r="C7" s="30" t="n">
        <x:f>'Historical Financials'!C30-6340.884</x:f>
        <x:v>0</x:v>
      </x:c>
      <x:c r="D7" s="30" t="n">
        <x:f>'Historical Financials'!D30-8900.392</x:f>
        <x:v>0</x:v>
      </x:c>
      <x:c r="E7" s="30" t="str"/>
      <x:c r="F7" t="str">
        <x:f>IF(AND(B7=0,C7=0,D7=0),"PASS","CHECK")</x:f>
        <x:v>PASS</x:v>
      </x:c>
    </x:row>
    <x:row r="8">
      <x:c r="A8" t="str">
        <x:v>Liabilities + equity tie-out</x:v>
      </x:c>
      <x:c r="B8" s="30" t="n">
        <x:f>'Historical Financials'!B49-4522.425</x:f>
        <x:v>0</x:v>
      </x:c>
      <x:c r="C8" s="30" t="n">
        <x:f>'Historical Financials'!C49-6340.884</x:f>
        <x:v>0</x:v>
      </x:c>
      <x:c r="D8" s="30" t="n">
        <x:f>'Historical Financials'!D49-8900.392</x:f>
        <x:v>0</x:v>
      </x:c>
      <x:c r="E8" s="30" t="str"/>
      <x:c r="F8" t="str">
        <x:f>IF(AND(B8=0,C8=0,D8=0),"PASS","CHECK")</x:f>
        <x:v>PASS</x:v>
      </x:c>
    </x:row>
    <x:row r="9">
      <x:c r="A9" t="str">
        <x:v>CFO tie-out</x:v>
      </x:c>
      <x:c r="B9" s="30" t="n">
        <x:f>'Historical Financials'!B56-712.183</x:f>
        <x:v>0</x:v>
      </x:c>
      <x:c r="C9" s="30" t="n">
        <x:f>'Historical Financials'!C56-1153.865</x:f>
        <x:v>0</x:v>
      </x:c>
      <x:c r="D9" s="30" t="n">
        <x:f>'Historical Financials'!D56-2134.473</x:f>
        <x:v>0</x:v>
      </x:c>
      <x:c r="E9" s="30" t="str"/>
      <x:c r="F9" t="str">
        <x:f>IF(AND(B9=0,C9=0,D9=0),"PASS","CHECK")</x:f>
        <x:v>PASS</x:v>
      </x:c>
    </x:row>
    <x:row r="10">
      <x:c r="A10" t="str">
        <x:v>Historical balance sheet check</x:v>
      </x:c>
      <x:c r="B10" s="30" t="n">
        <x:f>'Historical Financials'!B30-'Historical Financials'!B49</x:f>
        <x:v>0</x:v>
      </x:c>
      <x:c r="C10" s="30" t="n">
        <x:f>'Historical Financials'!C30-'Historical Financials'!C49</x:f>
        <x:v>0</x:v>
      </x:c>
      <x:c r="D10" s="30" t="n">
        <x:f>'Historical Financials'!D30-'Historical Financials'!D49</x:f>
        <x:v>0</x:v>
      </x:c>
      <x:c r="E10" s="30" t="str"/>
      <x:c r="F10" t="str">
        <x:f>IF(AND(B10=0,C10=0,D10=0),"PASS","CHECK")</x:f>
        <x:v>PASS</x:v>
      </x:c>
    </x:row>
    <x:row r="11">
      <x:c r="A11" t="str">
        <x:v>Forecast balance check</x:v>
      </x:c>
      <x:c r="B11" s="30" t="str"/>
      <x:c r="C11" s="30" t="str"/>
      <x:c r="D11" s="30" t="str"/>
      <x:c r="E11" s="30" t="n">
        <x:f>ABS('Forecast Model'!C70)+ABS('Forecast Model'!D70)+ABS('Forecast Model'!E70)+ABS('Forecast Model'!F70)+ABS('Forecast Model'!G70)</x:f>
        <x:v>3.637978807091713e-12</x:v>
      </x:c>
      <x:c r="F11" t="str">
        <x:f>IF(E11&lt;0.1,"PASS","CHECK")</x:f>
        <x:v>PASS</x:v>
      </x:c>
    </x:row>
    <x:row r="12">
      <x:c r="A12" t="str">
        <x:v>DCF sensitivity built</x:v>
      </x:c>
      <x:c r="B12" s="30" t="str"/>
      <x:c r="C12" s="30" t="str"/>
      <x:c r="D12" s="30" t="str"/>
      <x:c r="E12" s="30" t="str">
        <x:f>IF(DCF!G23&gt;0,"PASS","CHECK")</x:f>
        <x:v>PASS</x:v>
      </x:c>
      <x:c r="F12" t="str">
        <x:f>E12</x:f>
        <x:v>PASS</x:v>
      </x:c>
    </x:row>
  </x:sheetData>
  <x:mergeCells>
    <x:mergeCell ref="A1:F1"/>
  </x:mergeCells>
  <x:pageMargins left="0.7" right="0.7" top="0.75" bottom="0.75" header="0.3" footer="0.3"/>
</x:worksheet>
</file>