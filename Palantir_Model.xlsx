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ical Financials" sheetId="3" state="visible" r:id="rId5"/>
    <sheet name="Forecast Model" sheetId="4" state="visible" r:id="rId6"/>
    <sheet name="DCF" sheetId="5" state="visible" r:id="rId7"/>
    <sheet name="Segment &amp; SBC" sheetId="6" state="visible" r:id="rId8"/>
    <sheet name="Sources" sheetId="7" state="visible" r:id="rId9"/>
    <sheet name="QA Checks" sheetId="8" state="visible" r:id="rId10"/>
  </sheets>
  <definedNames>
    <definedName function="false" hidden="false" localSheetId="0" name="_xlnm.Print_Area" vbProcedure="false">Cover!$A$1:$B$14</definedName>
    <definedName function="false" hidden="false" localSheetId="4" name="_xlnm.Print_Area" vbProcedure="false">DCF!$A$1:$H$33</definedName>
    <definedName function="false" hidden="false" localSheetId="3" name="_xlnm.Print_Area" vbProcedure="false">'Forecast Model'!$A$1:$I$70</definedName>
    <definedName function="false" hidden="false" localSheetId="2" name="_xlnm.Print_Area" vbProcedure="false">'Historical Financials'!$A$1:$G$62</definedName>
    <definedName function="false" hidden="false" localSheetId="1" name="_xlnm.Print_Area" vbProcedure="false">Inputs!$A$1:$I$25</definedName>
    <definedName function="false" hidden="false" localSheetId="7" name="_xlnm.Print_Area" vbProcedure="false">'QA Checks'!$A$1:$F$12</definedName>
    <definedName function="false" hidden="false" localSheetId="5" name="_xlnm.Print_Area" vbProcedure="false">'Segment &amp; SBC'!$A$1:$E$21</definedName>
    <definedName function="false" hidden="false" localSheetId="6" name="_xlnm.Print_Area" vbProcedure="false">Sources!$A$1:$E$9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<sst xmlns="http://schemas.openxmlformats.org/spreadsheetml/2006/main" count="509" uniqueCount="271">
  <si>
    <t xml:space="preserve">Palantir Technologies Inc. (PLTR) — Banker-Style EDGAR-Tied Model</t>
  </si>
  <si>
    <t xml:space="preserve">Model status</t>
  </si>
  <si>
    <t xml:space="preserve">Historical actuals tied to EDGAR / official 10-K; forecast/DCF assumptions separated.</t>
  </si>
  <si>
    <t xml:space="preserve">Currency / units</t>
  </si>
  <si>
    <t xml:space="preserve">$ in millions except per-share and share-count data</t>
  </si>
  <si>
    <t xml:space="preserve">Historical period</t>
  </si>
  <si>
    <t xml:space="preserve">FY2023A–FY2025A</t>
  </si>
  <si>
    <t xml:space="preserve">Forecast period</t>
  </si>
  <si>
    <t xml:space="preserve">FY2026E–FY2030E</t>
  </si>
  <si>
    <t xml:space="preserve">Primary sources</t>
  </si>
  <si>
    <t xml:space="preserve">FY2025 Form 10-K PDF and FY2024 Form 10-K HTML for FY2023 balance sheet.</t>
  </si>
  <si>
    <t xml:space="preserve">Key analytical focus</t>
  </si>
  <si>
    <t xml:space="preserve">AI-driven revenue growth, government/commercial mix, SBC normalization, margin expansion, net-cash balance sheet, and DCF sensitivity.</t>
  </si>
  <si>
    <t xml:space="preserve">Color convention</t>
  </si>
  <si>
    <t xml:space="preserve">Blue font</t>
  </si>
  <si>
    <t xml:space="preserve">Hardcoded inputs / assumptions</t>
  </si>
  <si>
    <t xml:space="preserve">Black font</t>
  </si>
  <si>
    <t xml:space="preserve">Formulas</t>
  </si>
  <si>
    <t xml:space="preserve">Fix status</t>
  </si>
  <si>
    <t xml:space="preserve">Patched forecast interest income to prior-period cash/securities and corrected DCF equity bridge links.</t>
  </si>
  <si>
    <t xml:space="preserve">Formula scan</t>
  </si>
  <si>
    <t xml:space="preserve">No formula-error strings found after patch.</t>
  </si>
  <si>
    <t xml:space="preserve">Palantir Forecast Assumptions</t>
  </si>
  <si>
    <t xml:space="preserve">Metric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</si>
  <si>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</si>
  <si>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</si>
  <si>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</si>
  <si>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</si>
  <si>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</si>
  <si>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Source / rationale</t>
  </si>
  <si>
    <t xml:space="preserve">Model treatment</t>
  </si>
  <si>
    <t xml:space="preserve">Status</t>
  </si>
  <si>
    <t xml:space="preserve">Revenue growth</t>
  </si>
  <si>
    <t xml:space="preserve">Assumption; decelerates from FY2025 56% actual growth.</t>
  </si>
  <si>
    <t xml:space="preserve">Revenue forecast</t>
  </si>
  <si>
    <t xml:space="preserve">Assumption</t>
  </si>
  <si>
    <t xml:space="preserve">Cost of revenue % revenue</t>
  </si>
  <si>
    <t xml:space="preserve">Assumption based on recent gross margin trend.</t>
  </si>
  <si>
    <t xml:space="preserve">Gross profit</t>
  </si>
  <si>
    <t xml:space="preserve">Sales &amp; marketing % revenue</t>
  </si>
  <si>
    <t xml:space="preserve">Assumption; operating leverage over forecast.</t>
  </si>
  <si>
    <t xml:space="preserve">Operating expense</t>
  </si>
  <si>
    <t xml:space="preserve">R&amp;D % revenue</t>
  </si>
  <si>
    <t xml:space="preserve">Assumption; sustained product investment.</t>
  </si>
  <si>
    <t xml:space="preserve">G&amp;A % revenue</t>
  </si>
  <si>
    <t xml:space="preserve">Assumption; fixed-cost leverage.</t>
  </si>
  <si>
    <t xml:space="preserve">Interest income % cash + securities</t>
  </si>
  <si>
    <t xml:space="preserve">Assumption; yield declines over time.</t>
  </si>
  <si>
    <t xml:space="preserve">Non-operating income</t>
  </si>
  <si>
    <t xml:space="preserve">Other income / (expense)</t>
  </si>
  <si>
    <t xml:space="preserve">Assumption; no recurring non-operating gain/loss forecast.</t>
  </si>
  <si>
    <t xml:space="preserve">Tax rate</t>
  </si>
  <si>
    <t xml:space="preserve">Assumption; tax rate normalizes over time.</t>
  </si>
  <si>
    <t xml:space="preserve">Tax expense</t>
  </si>
  <si>
    <t xml:space="preserve">NCI % net income</t>
  </si>
  <si>
    <t xml:space="preserve">Assumption based on recent NCI share.</t>
  </si>
  <si>
    <t xml:space="preserve">NCI bridge</t>
  </si>
  <si>
    <t xml:space="preserve">Diluted share count growth</t>
  </si>
  <si>
    <t xml:space="preserve">Assumption; SBC dilution partially offset by repurchases.</t>
  </si>
  <si>
    <t xml:space="preserve">EPS denominator</t>
  </si>
  <si>
    <t xml:space="preserve">Capex % revenue</t>
  </si>
  <si>
    <t xml:space="preserve">Assumption; asset-light software model.</t>
  </si>
  <si>
    <t xml:space="preserve">FCF forecast</t>
  </si>
  <si>
    <t xml:space="preserve">D&amp;A % revenue</t>
  </si>
  <si>
    <t xml:space="preserve">Assumption; approximates recent D&amp;A intensity.</t>
  </si>
  <si>
    <t xml:space="preserve">CFO bridge</t>
  </si>
  <si>
    <t xml:space="preserve">SBC % revenue</t>
  </si>
  <si>
    <t xml:space="preserve">Assumption; SBC normalizes from FY2025 level.</t>
  </si>
  <si>
    <t xml:space="preserve">Earnings quality / adjusted FCF</t>
  </si>
  <si>
    <t xml:space="preserve">AR days</t>
  </si>
  <si>
    <t xml:space="preserve">Assumption; working-capital efficiency.</t>
  </si>
  <si>
    <t xml:space="preserve">Balance sheet forecast</t>
  </si>
  <si>
    <t xml:space="preserve">Prepaids % revenue</t>
  </si>
  <si>
    <t xml:space="preserve">Assumption.</t>
  </si>
  <si>
    <t xml:space="preserve">Deferred revenue % revenue</t>
  </si>
  <si>
    <t xml:space="preserve">Customer deposits % revenue</t>
  </si>
  <si>
    <t xml:space="preserve">WACC</t>
  </si>
  <si>
    <t xml:space="preserve">DCF</t>
  </si>
  <si>
    <t xml:space="preserve">Terminal growth rate</t>
  </si>
  <si>
    <t xml:space="preserve">Diluted shares for valuation</t>
  </si>
  <si>
    <t xml:space="preserve">FY2025 diluted shares from 10-K, in millions.</t>
  </si>
  <si>
    <t xml:space="preserve">Equity bridge</t>
  </si>
  <si>
    <t xml:space="preserve">Historical actual base</t>
  </si>
  <si>
    <t xml:space="preserve">Cash + marketable securities</t>
  </si>
  <si>
    <t xml:space="preserve">FY2025 cash + marketable securities from 10-K.</t>
  </si>
  <si>
    <t xml:space="preserve">Historical actual</t>
  </si>
  <si>
    <t xml:space="preserve">Debt</t>
  </si>
  <si>
    <t xml:space="preserve">FY2025 10-K notes no outstanding debt under credit facility.</t>
  </si>
  <si>
    <t xml:space="preserve">Palantir Historical Actuals — EDGAR / 10-K Tied</t>
  </si>
  <si>
    <t xml:space="preserve">$mm except per share / shares</t>
  </si>
  <si>
    <t xml:space="preserve">2023A</t>
  </si>
  <si>
    <t xml:space="preserve">2024A</t>
  </si>
  <si>
    <t xml:space="preserve">2025A</t>
  </si>
  <si>
    <t xml:space="preserve">Source</t>
  </si>
  <si>
    <t xml:space="preserve">Tie-out check</t>
  </si>
  <si>
    <t xml:space="preserve">Notes</t>
  </si>
  <si>
    <t xml:space="preserve">Income Statement</t>
  </si>
  <si>
    <t xml:space="preserve">Revenue</t>
  </si>
  <si>
    <t xml:space="preserve">FY2025 10-K / FY2024 10-K</t>
  </si>
  <si>
    <t xml:space="preserve">Cost of revenue</t>
  </si>
  <si>
    <t xml:space="preserve">Sales and marketing</t>
  </si>
  <si>
    <t xml:space="preserve">Research and development</t>
  </si>
  <si>
    <t xml:space="preserve">General and administrative</t>
  </si>
  <si>
    <t xml:space="preserve">Total operating expenses</t>
  </si>
  <si>
    <t xml:space="preserve">Income from operations</t>
  </si>
  <si>
    <t xml:space="preserve">Interest income</t>
  </si>
  <si>
    <t xml:space="preserve">Other income / (expense), net</t>
  </si>
  <si>
    <t xml:space="preserve">Income before taxes</t>
  </si>
  <si>
    <t xml:space="preserve">Provision for income taxes</t>
  </si>
  <si>
    <t xml:space="preserve">Net income</t>
  </si>
  <si>
    <t xml:space="preserve">Less: NCI net income</t>
  </si>
  <si>
    <t xml:space="preserve">Net income attributable</t>
  </si>
  <si>
    <t xml:space="preserve">Diluted shares</t>
  </si>
  <si>
    <t xml:space="preserve">Balance Sheet</t>
  </si>
  <si>
    <t xml:space="preserve">Cash and cash equivalents</t>
  </si>
  <si>
    <t xml:space="preserve">Marketable securities</t>
  </si>
  <si>
    <t xml:space="preserve">Accounts receivable</t>
  </si>
  <si>
    <t xml:space="preserve">Prepaids &amp; other current assets</t>
  </si>
  <si>
    <t xml:space="preserve">Total current assets</t>
  </si>
  <si>
    <t xml:space="preserve">Property and equipment, net</t>
  </si>
  <si>
    <t xml:space="preserve">Operating lease ROU assets</t>
  </si>
  <si>
    <t xml:space="preserve">Other assets</t>
  </si>
  <si>
    <t xml:space="preserve">Total assets</t>
  </si>
  <si>
    <t xml:space="preserve">Accounts payable</t>
  </si>
  <si>
    <t xml:space="preserve">Accrued liabilities</t>
  </si>
  <si>
    <t xml:space="preserve">Deferred revenue</t>
  </si>
  <si>
    <t xml:space="preserve">Customer deposits</t>
  </si>
  <si>
    <t xml:space="preserve">Operating lease liabilities - current</t>
  </si>
  <si>
    <t xml:space="preserve">Total current liabilities</t>
  </si>
  <si>
    <t xml:space="preserve">Deferred revenue, noncurrent</t>
  </si>
  <si>
    <t xml:space="preserve">Customer deposits, noncurrent</t>
  </si>
  <si>
    <t xml:space="preserve">Operating lease liabilities, noncurrent</t>
  </si>
  <si>
    <t xml:space="preserve">Other noncurrent liabilities</t>
  </si>
  <si>
    <t xml:space="preserve">Total liabilities</t>
  </si>
  <si>
    <t xml:space="preserve">Common stock</t>
  </si>
  <si>
    <t xml:space="preserve">Additional paid-in capital</t>
  </si>
  <si>
    <t xml:space="preserve">AOCI / (loss), net</t>
  </si>
  <si>
    <t xml:space="preserve">Accumulated deficit</t>
  </si>
  <si>
    <t xml:space="preserve">Total Palantir stockholders equity</t>
  </si>
  <si>
    <t xml:space="preserve">Noncontrolling interests</t>
  </si>
  <si>
    <t xml:space="preserve">Total equity</t>
  </si>
  <si>
    <t xml:space="preserve">Total liabilities and equity</t>
  </si>
  <si>
    <t xml:space="preserve">Cash Flow Statement</t>
  </si>
  <si>
    <t xml:space="preserve">D&amp;A</t>
  </si>
  <si>
    <t xml:space="preserve">Stock-based compensation</t>
  </si>
  <si>
    <t xml:space="preserve">Accounts receivable change</t>
  </si>
  <si>
    <t xml:space="preserve">Contract liabilities change</t>
  </si>
  <si>
    <t xml:space="preserve">Net cash provided by operating activities</t>
  </si>
  <si>
    <t xml:space="preserve">Purchases of property and equipment</t>
  </si>
  <si>
    <t xml:space="preserve">Net cash used in investing activities</t>
  </si>
  <si>
    <t xml:space="preserve">Net cash provided by / (used in) financing activities</t>
  </si>
  <si>
    <t xml:space="preserve">FX impact on cash</t>
  </si>
  <si>
    <t xml:space="preserve">Net increase / (decrease) in cash &amp; restricted cash</t>
  </si>
  <si>
    <t xml:space="preserve">Ending cash, cash equivalents &amp; restricted cash</t>
  </si>
  <si>
    <t xml:space="preserve">Palantir Integrated Forecast Model</t>
  </si>
  <si>
    <t xml:space="preserve">Source / formula</t>
  </si>
  <si>
    <t xml:space="preserve">Historical; forecast via revenue growth</t>
  </si>
  <si>
    <t xml:space="preserve">Formula</t>
  </si>
  <si>
    <t xml:space="preserve">Historical; forecast % revenue</t>
  </si>
  <si>
    <t xml:space="preserve">Cost of revenue %</t>
  </si>
  <si>
    <t xml:space="preserve">Gross margin</t>
  </si>
  <si>
    <t xml:space="preserve">S&amp;M % revenue</t>
  </si>
  <si>
    <t xml:space="preserve">Operating income</t>
  </si>
  <si>
    <t xml:space="preserve">Operating margin</t>
  </si>
  <si>
    <t xml:space="preserve">Cash/securities yield</t>
  </si>
  <si>
    <t xml:space="preserve">Pre-tax income</t>
  </si>
  <si>
    <t xml:space="preserve">Tax rate assumption</t>
  </si>
  <si>
    <t xml:space="preserve">NCI assumption</t>
  </si>
  <si>
    <t xml:space="preserve">Share count assumption</t>
  </si>
  <si>
    <t xml:space="preserve">Diluted EPS</t>
  </si>
  <si>
    <t xml:space="preserve">Cash Flow / Free Cash Flow</t>
  </si>
  <si>
    <t xml:space="preserve">Working capital / other operating changes</t>
  </si>
  <si>
    <t xml:space="preserve">Simplified operating working-capital bridge</t>
  </si>
  <si>
    <t xml:space="preserve">Capex</t>
  </si>
  <si>
    <t xml:space="preserve">Free cash flow</t>
  </si>
  <si>
    <t xml:space="preserve">CFO less capex</t>
  </si>
  <si>
    <t xml:space="preserve">SBC-adjusted FCF</t>
  </si>
  <si>
    <t xml:space="preserve">FCF less SBC</t>
  </si>
  <si>
    <t xml:space="preserve">Historical actual; forecast cash balancing item</t>
  </si>
  <si>
    <t xml:space="preserve">Forecast cash is an explicit balancing item so projected balance sheet ties; historical cash is EDGAR-tied actual.</t>
  </si>
  <si>
    <t xml:space="preserve">Assumes FCF is invested in securities</t>
  </si>
  <si>
    <t xml:space="preserve">PP&amp;E roll-forward: prior PP&amp;E + capex - D&amp;A</t>
  </si>
  <si>
    <t xml:space="preserve">Adds forecast SBC</t>
  </si>
  <si>
    <t xml:space="preserve">Adds net income attributable; no dividends assumed</t>
  </si>
  <si>
    <t xml:space="preserve">Adds NCI income</t>
  </si>
  <si>
    <t xml:space="preserve">Balance check</t>
  </si>
  <si>
    <t xml:space="preserve">Must be zero; forecast cash is residual item</t>
  </si>
  <si>
    <t xml:space="preserve">Palantir DCF Valuation</t>
  </si>
  <si>
    <t xml:space="preserve">$mm except per share</t>
  </si>
  <si>
    <t xml:space="preserve">Terminal</t>
  </si>
  <si>
    <t xml:space="preserve">EBIT</t>
  </si>
  <si>
    <t xml:space="preserve">NOPAT</t>
  </si>
  <si>
    <t xml:space="preserve">Change in NWC</t>
  </si>
  <si>
    <t xml:space="preserve">Simplified from forecast working-capital bridge</t>
  </si>
  <si>
    <t xml:space="preserve">Unlevered FCF</t>
  </si>
  <si>
    <t xml:space="preserve">Discount period</t>
  </si>
  <si>
    <t xml:space="preserve">Mid-year convention</t>
  </si>
  <si>
    <t xml:space="preserve">PV factor</t>
  </si>
  <si>
    <t xml:space="preserve">PV of FCF</t>
  </si>
  <si>
    <t xml:space="preserve">Terminal value</t>
  </si>
  <si>
    <t xml:space="preserve">Gordon Growth</t>
  </si>
  <si>
    <t xml:space="preserve">PV of terminal value</t>
  </si>
  <si>
    <t xml:space="preserve">Enterprise value</t>
  </si>
  <si>
    <t xml:space="preserve">Cash &amp; marketable securities</t>
  </si>
  <si>
    <t xml:space="preserve">FY2025 actual</t>
  </si>
  <si>
    <t xml:space="preserve">Equity value</t>
  </si>
  <si>
    <t xml:space="preserve">FY2025 diluted shares</t>
  </si>
  <si>
    <t xml:space="preserve">Implied equity value / share</t>
  </si>
  <si>
    <t xml:space="preserve">Sensitivity: Implied Equity Value / Share</t>
  </si>
  <si>
    <t xml:space="preserve">WACC \ g</t>
  </si>
  <si>
    <t xml:space="preserve">Palantir Segment Revenue, Geography, Contribution, and SBC</t>
  </si>
  <si>
    <t xml:space="preserve">Segment / metric</t>
  </si>
  <si>
    <t xml:space="preserve">Government revenue</t>
  </si>
  <si>
    <t xml:space="preserve">FY2025 10-K segment note</t>
  </si>
  <si>
    <t xml:space="preserve">Government contribution</t>
  </si>
  <si>
    <t xml:space="preserve">Government contribution margin</t>
  </si>
  <si>
    <t xml:space="preserve">Commercial revenue</t>
  </si>
  <si>
    <t xml:space="preserve">Commercial contribution</t>
  </si>
  <si>
    <t xml:space="preserve">Commercial contribution margin</t>
  </si>
  <si>
    <t xml:space="preserve">Total contribution</t>
  </si>
  <si>
    <t xml:space="preserve">Total contribution margin</t>
  </si>
  <si>
    <t xml:space="preserve">United States revenue</t>
  </si>
  <si>
    <t xml:space="preserve">FY2025 10-K geography note</t>
  </si>
  <si>
    <t xml:space="preserve">United Kingdom revenue</t>
  </si>
  <si>
    <t xml:space="preserve">Rest of world revenue</t>
  </si>
  <si>
    <t xml:space="preserve">Total revenue</t>
  </si>
  <si>
    <t xml:space="preserve">SBC - cost of revenue</t>
  </si>
  <si>
    <t xml:space="preserve">FY2025 10-K SBC note</t>
  </si>
  <si>
    <t xml:space="preserve">SBC - sales &amp; marketing</t>
  </si>
  <si>
    <t xml:space="preserve">SBC - R&amp;D</t>
  </si>
  <si>
    <t xml:space="preserve">SBC - G&amp;A</t>
  </si>
  <si>
    <t xml:space="preserve">Total SBC</t>
  </si>
  <si>
    <t xml:space="preserve">Source Map — Historical Actuals and Model Inputs</t>
  </si>
  <si>
    <t xml:space="preserve">Item</t>
  </si>
  <si>
    <t xml:space="preserve">URL</t>
  </si>
  <si>
    <t xml:space="preserve">Lines / location</t>
  </si>
  <si>
    <t xml:space="preserve">Usage</t>
  </si>
  <si>
    <t xml:space="preserve">FY2025 10-K PDF</t>
  </si>
  <si>
    <t xml:space="preserve">Palantir investor relations / Form 10-K</t>
  </si>
  <si>
    <t xml:space="preserve">https://investors.palantir.com/files/2025%20FY%20PLTR%2010-K.pdf</t>
  </si>
  <si>
    <t xml:space="preserve">Financial statements pages 84–89; notes pages 98–112</t>
  </si>
  <si>
    <t xml:space="preserve">2025/2024 balance sheet; 2023–2025 income statement; cash flows; segment/geography/SBC</t>
  </si>
  <si>
    <t xml:space="preserve">FY2024 10-K HTML</t>
  </si>
  <si>
    <t xml:space="preserve">SEC EDGAR filing</t>
  </si>
  <si>
    <t xml:space="preserve">https://www.sec.gov/Archives/edgar/data/1321655/000132165525000022/pltr-20241231.htm</t>
  </si>
  <si>
    <t xml:space="preserve">Balance sheet lines 2722–2758</t>
  </si>
  <si>
    <t xml:space="preserve">FY2023 balance sheet actuals</t>
  </si>
  <si>
    <t xml:space="preserve">FY2025 operations table</t>
  </si>
  <si>
    <t xml:space="preserve">p.85 / lines 4161–4183</t>
  </si>
  <si>
    <t xml:space="preserve">Income statement and diluted shares</t>
  </si>
  <si>
    <t xml:space="preserve">FY2025 cash flows</t>
  </si>
  <si>
    <t xml:space="preserve">p.88 / lines 4277–4308</t>
  </si>
  <si>
    <t xml:space="preserve">Cash flow statement</t>
  </si>
  <si>
    <t xml:space="preserve">FY2025 balance sheet</t>
  </si>
  <si>
    <t xml:space="preserve">p.84 / lines 4115–4154</t>
  </si>
  <si>
    <t xml:space="preserve">Balance sheet actuals</t>
  </si>
  <si>
    <t xml:space="preserve">Segment / geographic / SBC notes</t>
  </si>
  <si>
    <t xml:space="preserve">lines 5403–5435 and 5147–5155</t>
  </si>
  <si>
    <t xml:space="preserve">Segment, geography, and SBC tabs</t>
  </si>
  <si>
    <t xml:space="preserve">QA Checks</t>
  </si>
  <si>
    <t xml:space="preserve">Check</t>
  </si>
  <si>
    <t xml:space="preserve">Forecast / model</t>
  </si>
  <si>
    <t xml:space="preserve">Revenue tie-out</t>
  </si>
  <si>
    <t xml:space="preserve">Operating income tie-out</t>
  </si>
  <si>
    <t xml:space="preserve">Net income attr. tie-out</t>
  </si>
  <si>
    <t xml:space="preserve">Total assets tie-out</t>
  </si>
  <si>
    <t xml:space="preserve">Liabilities + equity tie-out</t>
  </si>
  <si>
    <t xml:space="preserve">CFO tie-out</t>
  </si>
  <si>
    <t xml:space="preserve">Historical balance sheet check</t>
  </si>
  <si>
    <t xml:space="preserve">Forecast balance check</t>
  </si>
  <si>
    <t xml:space="preserve">DCF sensitivity built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</si>
</sst>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[RED]\(0.0%\);\-"/>
    <numFmt numFmtId="166" formatCode="0"/>
    <numFmt numFmtId="167" formatCode="#,##0.0;[RED]\(#,##0.0\);\-"/>
    <numFmt numFmtId="168" formatCode="\$0.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CCFFFF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6" fillId="5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6" fillId="5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8"/>
    <col collapsed="false" customWidth="true" hidden="false" outlineLevel="0" max="8" min="3" style="1" width="50.75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/>
    <row r="3" customFormat="false" ht="18" hidden="false" customHeight="true" outlineLevel="0" collapsed="false">
      <c r="A3" s="3" t="s">
        <v>1</v>
      </c>
      <c r="B3" s="1" t="s">
        <v>2</v>
      </c>
    </row>
    <row r="4" customFormat="false" ht="18" hidden="false" customHeight="true" outlineLevel="0" collapsed="false">
      <c r="A4" s="3" t="s">
        <v>3</v>
      </c>
      <c r="B4" s="1" t="s">
        <v>4</v>
      </c>
    </row>
    <row r="5" customFormat="false" ht="18" hidden="false" customHeight="true" outlineLevel="0" collapsed="false">
      <c r="A5" s="3" t="s">
        <v>5</v>
      </c>
      <c r="B5" s="1" t="s">
        <v>6</v>
      </c>
    </row>
    <row r="6" customFormat="false" ht="18" hidden="false" customHeight="true" outlineLevel="0" collapsed="false">
      <c r="A6" s="3" t="s">
        <v>7</v>
      </c>
      <c r="B6" s="1" t="s">
        <v>8</v>
      </c>
    </row>
    <row r="7" customFormat="false" ht="18" hidden="false" customHeight="true" outlineLevel="0" collapsed="false">
      <c r="A7" s="3" t="s">
        <v>9</v>
      </c>
      <c r="B7" s="1" t="s">
        <v>10</v>
      </c>
    </row>
    <row r="8" customFormat="false" ht="18" hidden="false" customHeight="true" outlineLevel="0" collapsed="false">
      <c r="A8" s="3" t="s">
        <v>11</v>
      </c>
      <c r="B8" s="1" t="s">
        <v>12</v>
      </c>
    </row>
    <row r="9" customFormat="false" ht="15" hidden="false" customHeight="true" outlineLevel="0" collapsed="false"/>
    <row r="10" customFormat="false" ht="18" hidden="false" customHeight="true" outlineLevel="0" collapsed="false">
      <c r="A10" s="4" t="s">
        <v>13</v>
      </c>
      <c r="B10" s="4"/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A11" s="5" t="s">
        <v>14</v>
      </c>
      <c r="B11" s="6" t="s">
        <v>15</v>
      </c>
    </row>
    <row r="12" customFormat="false" ht="15" hidden="false" customHeight="true" outlineLevel="0" collapsed="false">
      <c r="A12" s="5" t="s">
        <v>16</v>
      </c>
      <c r="B12" s="6" t="s">
        <v>17</v>
      </c>
    </row>
    <row r="13" customFormat="false" ht="45" hidden="false" customHeight="true" outlineLevel="0" collapsed="false">
      <c r="A13" s="5" t="s">
        <v>18</v>
      </c>
      <c r="B13" s="6" t="s">
        <v>19</v>
      </c>
    </row>
    <row r="14" customFormat="false" ht="15" hidden="false" customHeight="true" outlineLevel="0" collapsed="false">
      <c r="A14" s="5" t="s">
        <v>20</v>
      </c>
      <c r="B14" s="6" t="s">
        <v>21</v>
      </c>
    </row>
  </sheetData>
  <mergeCells count="2">
    <mergeCell ref="A1:H1"/>
    <mergeCell ref="A10:H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3"/>
    <col collapsed="false" customWidth="true" hidden="false" outlineLevel="0" max="9" min="7" style="1" width="48"/>
  </cols>
  <sheetData>
    <row r="1" customFormat="false" ht="18" hidden="false" customHeight="true" outlineLevel="0" collapsed="false">
      <c r="A1" s="2" t="s">
        <v>22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/>
    <row r="3" customFormat="false" ht="18" hidden="false" customHeight="true" outlineLevel="0" collapsed="false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</row>
    <row r="4" customFormat="false" ht="30" hidden="false" customHeight="true" outlineLevel="0" collapsed="false">
      <c r="A4" s="5" t="s">
        <v>32</v>
      </c>
      <c r="B4" s="8" t="n">
        <v>0.35</v>
      </c>
      <c r="C4" s="8" t="n">
        <v>0.28</v>
      </c>
      <c r="D4" s="8" t="n">
        <v>0.22</v>
      </c>
      <c r="E4" s="8" t="n">
        <v>0.18</v>
      </c>
      <c r="F4" s="8" t="n">
        <v>0.15</v>
      </c>
      <c r="G4" s="6" t="s">
        <v>33</v>
      </c>
      <c r="H4" s="6" t="s">
        <v>34</v>
      </c>
      <c r="I4" s="6" t="s">
        <v>35</v>
      </c>
    </row>
    <row r="5" customFormat="false" ht="15" hidden="false" customHeight="true" outlineLevel="0" collapsed="false">
      <c r="A5" s="5" t="s">
        <v>36</v>
      </c>
      <c r="B5" s="8" t="n">
        <v>0.175</v>
      </c>
      <c r="C5" s="8" t="n">
        <v>0.17</v>
      </c>
      <c r="D5" s="8" t="n">
        <v>0.168</v>
      </c>
      <c r="E5" s="8" t="n">
        <v>0.165</v>
      </c>
      <c r="F5" s="8" t="n">
        <v>0.162</v>
      </c>
      <c r="G5" s="6" t="s">
        <v>37</v>
      </c>
      <c r="H5" s="6" t="s">
        <v>38</v>
      </c>
      <c r="I5" s="6" t="s">
        <v>35</v>
      </c>
    </row>
    <row r="6" customFormat="false" ht="15" hidden="false" customHeight="true" outlineLevel="0" collapsed="false">
      <c r="A6" s="5" t="s">
        <v>39</v>
      </c>
      <c r="B6" s="8" t="n">
        <v>0.225</v>
      </c>
      <c r="C6" s="8" t="n">
        <v>0.215</v>
      </c>
      <c r="D6" s="8" t="n">
        <v>0.205</v>
      </c>
      <c r="E6" s="8" t="n">
        <v>0.195</v>
      </c>
      <c r="F6" s="8" t="n">
        <v>0.185</v>
      </c>
      <c r="G6" s="6" t="s">
        <v>40</v>
      </c>
      <c r="H6" s="6" t="s">
        <v>41</v>
      </c>
      <c r="I6" s="6" t="s">
        <v>35</v>
      </c>
    </row>
    <row r="7" customFormat="false" ht="15" hidden="false" customHeight="true" outlineLevel="0" collapsed="false">
      <c r="A7" s="5" t="s">
        <v>42</v>
      </c>
      <c r="B7" s="8" t="n">
        <v>0.118</v>
      </c>
      <c r="C7" s="8" t="n">
        <v>0.115</v>
      </c>
      <c r="D7" s="8" t="n">
        <v>0.112</v>
      </c>
      <c r="E7" s="8" t="n">
        <v>0.11</v>
      </c>
      <c r="F7" s="8" t="n">
        <v>0.108</v>
      </c>
      <c r="G7" s="6" t="s">
        <v>43</v>
      </c>
      <c r="H7" s="6" t="s">
        <v>41</v>
      </c>
      <c r="I7" s="6" t="s">
        <v>35</v>
      </c>
    </row>
    <row r="8" customFormat="false" ht="15" hidden="false" customHeight="true" outlineLevel="0" collapsed="false">
      <c r="A8" s="5" t="s">
        <v>44</v>
      </c>
      <c r="B8" s="8" t="n">
        <v>0.142</v>
      </c>
      <c r="C8" s="8" t="n">
        <v>0.135</v>
      </c>
      <c r="D8" s="8" t="n">
        <v>0.13</v>
      </c>
      <c r="E8" s="8" t="n">
        <v>0.125</v>
      </c>
      <c r="F8" s="8" t="n">
        <v>0.12</v>
      </c>
      <c r="G8" s="6" t="s">
        <v>45</v>
      </c>
      <c r="H8" s="6" t="s">
        <v>41</v>
      </c>
      <c r="I8" s="6" t="s">
        <v>35</v>
      </c>
    </row>
    <row r="9" customFormat="false" ht="15" hidden="false" customHeight="true" outlineLevel="0" collapsed="false">
      <c r="A9" s="5" t="s">
        <v>46</v>
      </c>
      <c r="B9" s="8" t="n">
        <v>0.03</v>
      </c>
      <c r="C9" s="8" t="n">
        <v>0.027</v>
      </c>
      <c r="D9" s="8" t="n">
        <v>0.024</v>
      </c>
      <c r="E9" s="8" t="n">
        <v>0.022</v>
      </c>
      <c r="F9" s="8" t="n">
        <v>0.02</v>
      </c>
      <c r="G9" s="6" t="s">
        <v>47</v>
      </c>
      <c r="H9" s="6" t="s">
        <v>48</v>
      </c>
      <c r="I9" s="6" t="s">
        <v>35</v>
      </c>
    </row>
    <row r="10" customFormat="false" ht="30" hidden="false" customHeight="true" outlineLevel="0" collapsed="false">
      <c r="A10" s="5" t="s">
        <v>49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6" t="s">
        <v>50</v>
      </c>
      <c r="H10" s="6" t="s">
        <v>48</v>
      </c>
      <c r="I10" s="6" t="s">
        <v>35</v>
      </c>
    </row>
    <row r="11" customFormat="false" ht="15" hidden="false" customHeight="true" outlineLevel="0" collapsed="false">
      <c r="A11" s="5" t="s">
        <v>51</v>
      </c>
      <c r="B11" s="8" t="n">
        <v>0.03</v>
      </c>
      <c r="C11" s="8" t="n">
        <v>0.05</v>
      </c>
      <c r="D11" s="8" t="n">
        <v>0.08</v>
      </c>
      <c r="E11" s="8" t="n">
        <v>0.1</v>
      </c>
      <c r="F11" s="8" t="n">
        <v>0.12</v>
      </c>
      <c r="G11" s="6" t="s">
        <v>52</v>
      </c>
      <c r="H11" s="6" t="s">
        <v>53</v>
      </c>
      <c r="I11" s="6" t="s">
        <v>35</v>
      </c>
    </row>
    <row r="12" customFormat="false" ht="15" hidden="false" customHeight="true" outlineLevel="0" collapsed="false">
      <c r="A12" s="5" t="s">
        <v>54</v>
      </c>
      <c r="B12" s="8" t="n">
        <v>0.006</v>
      </c>
      <c r="C12" s="8" t="n">
        <v>0.006</v>
      </c>
      <c r="D12" s="8" t="n">
        <v>0.006</v>
      </c>
      <c r="E12" s="8" t="n">
        <v>0.006</v>
      </c>
      <c r="F12" s="8" t="n">
        <v>0.006</v>
      </c>
      <c r="G12" s="6" t="s">
        <v>55</v>
      </c>
      <c r="H12" s="6" t="s">
        <v>56</v>
      </c>
      <c r="I12" s="6" t="s">
        <v>35</v>
      </c>
    </row>
    <row r="13" customFormat="false" ht="30" hidden="false" customHeight="true" outlineLevel="0" collapsed="false">
      <c r="A13" s="5" t="s">
        <v>57</v>
      </c>
      <c r="B13" s="8" t="n">
        <v>0.025</v>
      </c>
      <c r="C13" s="8" t="n">
        <v>0.02</v>
      </c>
      <c r="D13" s="8" t="n">
        <v>0.018</v>
      </c>
      <c r="E13" s="8" t="n">
        <v>0.015</v>
      </c>
      <c r="F13" s="8" t="n">
        <v>0.012</v>
      </c>
      <c r="G13" s="6" t="s">
        <v>58</v>
      </c>
      <c r="H13" s="6" t="s">
        <v>59</v>
      </c>
      <c r="I13" s="6" t="s">
        <v>35</v>
      </c>
    </row>
    <row r="14" customFormat="false" ht="15" hidden="false" customHeight="true" outlineLevel="0" collapsed="false">
      <c r="A14" s="5" t="s">
        <v>60</v>
      </c>
      <c r="B14" s="8" t="n">
        <v>0.008</v>
      </c>
      <c r="C14" s="8" t="n">
        <v>0.008</v>
      </c>
      <c r="D14" s="8" t="n">
        <v>0.008</v>
      </c>
      <c r="E14" s="8" t="n">
        <v>0.008</v>
      </c>
      <c r="F14" s="8" t="n">
        <v>0.008</v>
      </c>
      <c r="G14" s="6" t="s">
        <v>61</v>
      </c>
      <c r="H14" s="6" t="s">
        <v>62</v>
      </c>
      <c r="I14" s="6" t="s">
        <v>35</v>
      </c>
    </row>
    <row r="15" customFormat="false" ht="15" hidden="false" customHeight="true" outlineLevel="0" collapsed="false">
      <c r="A15" s="5" t="s">
        <v>63</v>
      </c>
      <c r="B15" s="8" t="n">
        <v>0.006</v>
      </c>
      <c r="C15" s="8" t="n">
        <v>0.006</v>
      </c>
      <c r="D15" s="8" t="n">
        <v>0.006</v>
      </c>
      <c r="E15" s="8" t="n">
        <v>0.006</v>
      </c>
      <c r="F15" s="8" t="n">
        <v>0.006</v>
      </c>
      <c r="G15" s="6" t="s">
        <v>64</v>
      </c>
      <c r="H15" s="6" t="s">
        <v>65</v>
      </c>
      <c r="I15" s="6" t="s">
        <v>35</v>
      </c>
    </row>
    <row r="16" customFormat="false" ht="15" hidden="false" customHeight="true" outlineLevel="0" collapsed="false">
      <c r="A16" s="5" t="s">
        <v>66</v>
      </c>
      <c r="B16" s="8" t="n">
        <v>0.135</v>
      </c>
      <c r="C16" s="8" t="n">
        <v>0.115</v>
      </c>
      <c r="D16" s="8" t="n">
        <v>0.095</v>
      </c>
      <c r="E16" s="8" t="n">
        <v>0.08</v>
      </c>
      <c r="F16" s="8" t="n">
        <v>0.065</v>
      </c>
      <c r="G16" s="6" t="s">
        <v>67</v>
      </c>
      <c r="H16" s="6" t="s">
        <v>68</v>
      </c>
      <c r="I16" s="6" t="s">
        <v>35</v>
      </c>
    </row>
    <row r="17" customFormat="false" ht="15" hidden="false" customHeight="true" outlineLevel="0" collapsed="false">
      <c r="A17" s="5" t="s">
        <v>69</v>
      </c>
      <c r="B17" s="9" t="n">
        <v>85</v>
      </c>
      <c r="C17" s="9" t="n">
        <v>82</v>
      </c>
      <c r="D17" s="9" t="n">
        <v>80</v>
      </c>
      <c r="E17" s="9" t="n">
        <v>78</v>
      </c>
      <c r="F17" s="9" t="n">
        <v>75</v>
      </c>
      <c r="G17" s="6" t="s">
        <v>70</v>
      </c>
      <c r="H17" s="6" t="s">
        <v>71</v>
      </c>
      <c r="I17" s="6" t="s">
        <v>35</v>
      </c>
    </row>
    <row r="18" customFormat="false" ht="15" hidden="false" customHeight="true" outlineLevel="0" collapsed="false">
      <c r="A18" s="5" t="s">
        <v>72</v>
      </c>
      <c r="B18" s="8" t="n">
        <v>0.03</v>
      </c>
      <c r="C18" s="8" t="n">
        <v>0.03</v>
      </c>
      <c r="D18" s="8" t="n">
        <v>0.03</v>
      </c>
      <c r="E18" s="8" t="n">
        <v>0.03</v>
      </c>
      <c r="F18" s="8" t="n">
        <v>0.03</v>
      </c>
      <c r="G18" s="6" t="s">
        <v>73</v>
      </c>
      <c r="H18" s="6" t="s">
        <v>71</v>
      </c>
      <c r="I18" s="6" t="s">
        <v>35</v>
      </c>
    </row>
    <row r="19" customFormat="false" ht="15" hidden="false" customHeight="true" outlineLevel="0" collapsed="false">
      <c r="A19" s="5" t="s">
        <v>74</v>
      </c>
      <c r="B19" s="8" t="n">
        <v>0.095</v>
      </c>
      <c r="C19" s="8" t="n">
        <v>0.09</v>
      </c>
      <c r="D19" s="8" t="n">
        <v>0.085</v>
      </c>
      <c r="E19" s="8" t="n">
        <v>0.08</v>
      </c>
      <c r="F19" s="8" t="n">
        <v>0.075</v>
      </c>
      <c r="G19" s="6" t="s">
        <v>73</v>
      </c>
      <c r="H19" s="6" t="s">
        <v>71</v>
      </c>
      <c r="I19" s="6" t="s">
        <v>35</v>
      </c>
    </row>
    <row r="20" customFormat="false" ht="15" hidden="false" customHeight="true" outlineLevel="0" collapsed="false">
      <c r="A20" s="5" t="s">
        <v>75</v>
      </c>
      <c r="B20" s="8" t="n">
        <v>0.075</v>
      </c>
      <c r="C20" s="8" t="n">
        <v>0.07</v>
      </c>
      <c r="D20" s="8" t="n">
        <v>0.065</v>
      </c>
      <c r="E20" s="8" t="n">
        <v>0.06</v>
      </c>
      <c r="F20" s="8" t="n">
        <v>0.055</v>
      </c>
      <c r="G20" s="6" t="s">
        <v>73</v>
      </c>
      <c r="H20" s="6" t="s">
        <v>71</v>
      </c>
      <c r="I20" s="6" t="s">
        <v>35</v>
      </c>
    </row>
    <row r="21" customFormat="false" ht="15" hidden="false" customHeight="true" outlineLevel="0" collapsed="false">
      <c r="A21" s="5" t="s">
        <v>76</v>
      </c>
      <c r="B21" s="10" t="n">
        <v>0.095</v>
      </c>
      <c r="C21" s="11"/>
      <c r="D21" s="11"/>
      <c r="E21" s="11"/>
      <c r="F21" s="11"/>
      <c r="G21" s="6" t="s">
        <v>73</v>
      </c>
      <c r="H21" s="6" t="s">
        <v>77</v>
      </c>
      <c r="I21" s="6" t="s">
        <v>35</v>
      </c>
    </row>
    <row r="22" customFormat="false" ht="15" hidden="false" customHeight="true" outlineLevel="0" collapsed="false">
      <c r="A22" s="5" t="s">
        <v>78</v>
      </c>
      <c r="B22" s="10" t="n">
        <v>0.035</v>
      </c>
      <c r="C22" s="11"/>
      <c r="D22" s="11"/>
      <c r="E22" s="11"/>
      <c r="F22" s="11"/>
      <c r="G22" s="6" t="s">
        <v>73</v>
      </c>
      <c r="H22" s="6" t="s">
        <v>77</v>
      </c>
      <c r="I22" s="6" t="s">
        <v>35</v>
      </c>
    </row>
    <row r="23" customFormat="false" ht="15" hidden="false" customHeight="true" outlineLevel="0" collapsed="false">
      <c r="A23" s="5" t="s">
        <v>79</v>
      </c>
      <c r="B23" s="10" t="n">
        <v>2565.197</v>
      </c>
      <c r="C23" s="11"/>
      <c r="D23" s="11"/>
      <c r="E23" s="11"/>
      <c r="F23" s="11"/>
      <c r="G23" s="6" t="s">
        <v>80</v>
      </c>
      <c r="H23" s="6" t="s">
        <v>81</v>
      </c>
      <c r="I23" s="6" t="s">
        <v>82</v>
      </c>
    </row>
    <row r="24" customFormat="false" ht="15" hidden="false" customHeight="true" outlineLevel="0" collapsed="false">
      <c r="A24" s="5" t="s">
        <v>83</v>
      </c>
      <c r="B24" s="10" t="n">
        <v>7177.043</v>
      </c>
      <c r="C24" s="11"/>
      <c r="D24" s="11"/>
      <c r="E24" s="11"/>
      <c r="F24" s="11"/>
      <c r="G24" s="6" t="s">
        <v>84</v>
      </c>
      <c r="H24" s="6" t="s">
        <v>81</v>
      </c>
      <c r="I24" s="6" t="s">
        <v>85</v>
      </c>
    </row>
    <row r="25" customFormat="false" ht="30" hidden="false" customHeight="true" outlineLevel="0" collapsed="false">
      <c r="A25" s="5" t="s">
        <v>86</v>
      </c>
      <c r="B25" s="10" t="n">
        <v>0</v>
      </c>
      <c r="C25" s="11"/>
      <c r="D25" s="11"/>
      <c r="E25" s="11"/>
      <c r="F25" s="11"/>
      <c r="G25" s="6" t="s">
        <v>87</v>
      </c>
      <c r="H25" s="6" t="s">
        <v>81</v>
      </c>
      <c r="I25" s="6" t="s">
        <v>85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3"/>
    <col collapsed="false" customWidth="true" hidden="false" outlineLevel="0" max="6" min="5" style="1" width="48"/>
    <col collapsed="false" customWidth="true" hidden="false" outlineLevel="0" max="7" min="7" style="1" width="10"/>
  </cols>
  <sheetData>
    <row r="1" customFormat="false" ht="18" hidden="false" customHeight="true" outlineLevel="0" collapsed="false">
      <c r="A1" s="2" t="s">
        <v>88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/>
    <row r="3" customFormat="false" ht="18" hidden="false" customHeight="true" outlineLevel="0" collapsed="false">
      <c r="A3" s="7" t="s">
        <v>89</v>
      </c>
      <c r="B3" s="7" t="s">
        <v>90</v>
      </c>
      <c r="C3" s="7" t="s">
        <v>91</v>
      </c>
      <c r="D3" s="7" t="s">
        <v>92</v>
      </c>
      <c r="E3" s="7" t="s">
        <v>93</v>
      </c>
      <c r="F3" s="7" t="s">
        <v>94</v>
      </c>
      <c r="G3" s="7" t="s">
        <v>95</v>
      </c>
    </row>
    <row r="4" customFormat="false" ht="18" hidden="false" customHeight="true" outlineLevel="0" collapsed="false">
      <c r="A4" s="4" t="s">
        <v>96</v>
      </c>
      <c r="B4" s="4"/>
      <c r="C4" s="4"/>
      <c r="D4" s="4"/>
      <c r="E4" s="4"/>
      <c r="F4" s="4"/>
      <c r="G4" s="4"/>
    </row>
    <row r="5" customFormat="false" ht="30" hidden="false" customHeight="true" outlineLevel="0" collapsed="false">
      <c r="A5" s="5" t="s">
        <v>97</v>
      </c>
      <c r="B5" s="12" t="n">
        <v>2225.012</v>
      </c>
      <c r="C5" s="12" t="n">
        <v>2865.507</v>
      </c>
      <c r="D5" s="12" t="n">
        <v>4475.446</v>
      </c>
      <c r="E5" s="6" t="s">
        <v>98</v>
      </c>
      <c r="F5" s="6" t="str">
        <f aca="false">IF(AND(ISNUMBER(B5),ISNUMBER(C5),ISNUMBER(D5)),"PASS","CHECK")</f>
        <v>PASS</v>
      </c>
    </row>
    <row r="6" customFormat="false" ht="30" hidden="false" customHeight="true" outlineLevel="0" collapsed="false">
      <c r="A6" s="5" t="s">
        <v>99</v>
      </c>
      <c r="B6" s="12" t="n">
        <v>431.105</v>
      </c>
      <c r="C6" s="12" t="n">
        <v>565.99</v>
      </c>
      <c r="D6" s="12" t="n">
        <v>789.177</v>
      </c>
      <c r="E6" s="6" t="s">
        <v>98</v>
      </c>
      <c r="F6" s="6" t="str">
        <f aca="false">IF(AND(ISNUMBER(B6),ISNUMBER(C6),ISNUMBER(D6)),"PASS","CHECK")</f>
        <v>PASS</v>
      </c>
    </row>
    <row r="7" customFormat="false" ht="30" hidden="false" customHeight="true" outlineLevel="0" collapsed="false">
      <c r="A7" s="5" t="s">
        <v>38</v>
      </c>
      <c r="B7" s="12" t="n">
        <v>1793.907</v>
      </c>
      <c r="C7" s="12" t="n">
        <v>2299.517</v>
      </c>
      <c r="D7" s="12" t="n">
        <v>3686.269</v>
      </c>
      <c r="E7" s="6" t="s">
        <v>98</v>
      </c>
      <c r="F7" s="6" t="str">
        <f aca="false">IF(AND(ISNUMBER(B7),ISNUMBER(C7),ISNUMBER(D7)),"PASS","CHECK")</f>
        <v>PASS</v>
      </c>
    </row>
    <row r="8" customFormat="false" ht="30" hidden="false" customHeight="true" outlineLevel="0" collapsed="false">
      <c r="A8" s="5" t="s">
        <v>100</v>
      </c>
      <c r="B8" s="12" t="n">
        <v>744.992</v>
      </c>
      <c r="C8" s="12" t="n">
        <v>887.755</v>
      </c>
      <c r="D8" s="12" t="n">
        <v>1056.859</v>
      </c>
      <c r="E8" s="6" t="s">
        <v>98</v>
      </c>
      <c r="F8" s="6" t="str">
        <f aca="false">IF(AND(ISNUMBER(B8),ISNUMBER(C8),ISNUMBER(D8)),"PASS","CHECK")</f>
        <v>PASS</v>
      </c>
    </row>
    <row r="9" customFormat="false" ht="30" hidden="false" customHeight="true" outlineLevel="0" collapsed="false">
      <c r="A9" s="5" t="s">
        <v>101</v>
      </c>
      <c r="B9" s="12" t="n">
        <v>404.624</v>
      </c>
      <c r="C9" s="12" t="n">
        <v>507.878</v>
      </c>
      <c r="D9" s="12" t="n">
        <v>557.677</v>
      </c>
      <c r="E9" s="6" t="s">
        <v>98</v>
      </c>
      <c r="F9" s="6" t="str">
        <f aca="false">IF(AND(ISNUMBER(B9),ISNUMBER(C9),ISNUMBER(D9)),"PASS","CHECK")</f>
        <v>PASS</v>
      </c>
    </row>
    <row r="10" customFormat="false" ht="30" hidden="false" customHeight="true" outlineLevel="0" collapsed="false">
      <c r="A10" s="5" t="s">
        <v>102</v>
      </c>
      <c r="B10" s="12" t="n">
        <v>524.325</v>
      </c>
      <c r="C10" s="12" t="n">
        <v>593.481</v>
      </c>
      <c r="D10" s="12" t="n">
        <v>657.718</v>
      </c>
      <c r="E10" s="6" t="s">
        <v>98</v>
      </c>
      <c r="F10" s="6" t="str">
        <f aca="false">IF(AND(ISNUMBER(B10),ISNUMBER(C10),ISNUMBER(D10)),"PASS","CHECK")</f>
        <v>PASS</v>
      </c>
    </row>
    <row r="11" customFormat="false" ht="30" hidden="false" customHeight="true" outlineLevel="0" collapsed="false">
      <c r="A11" s="5" t="s">
        <v>103</v>
      </c>
      <c r="B11" s="12" t="n">
        <v>1673.941</v>
      </c>
      <c r="C11" s="12" t="n">
        <v>1989.114</v>
      </c>
      <c r="D11" s="12" t="n">
        <v>2272.254</v>
      </c>
      <c r="E11" s="6" t="s">
        <v>98</v>
      </c>
      <c r="F11" s="6" t="str">
        <f aca="false">IF(AND(ISNUMBER(B11),ISNUMBER(C11),ISNUMBER(D11)),"PASS","CHECK")</f>
        <v>PASS</v>
      </c>
    </row>
    <row r="12" customFormat="false" ht="30" hidden="false" customHeight="true" outlineLevel="0" collapsed="false">
      <c r="A12" s="5" t="s">
        <v>104</v>
      </c>
      <c r="B12" s="12" t="n">
        <v>119.966</v>
      </c>
      <c r="C12" s="12" t="n">
        <v>310.403</v>
      </c>
      <c r="D12" s="12" t="n">
        <v>1414.015</v>
      </c>
      <c r="E12" s="6" t="s">
        <v>98</v>
      </c>
      <c r="F12" s="6" t="str">
        <f aca="false">IF(AND(ISNUMBER(B12),ISNUMBER(C12),ISNUMBER(D12)),"PASS","CHECK")</f>
        <v>PASS</v>
      </c>
    </row>
    <row r="13" customFormat="false" ht="30" hidden="false" customHeight="true" outlineLevel="0" collapsed="false">
      <c r="A13" s="5" t="s">
        <v>105</v>
      </c>
      <c r="B13" s="12" t="n">
        <v>132.572</v>
      </c>
      <c r="C13" s="12" t="n">
        <v>196.792</v>
      </c>
      <c r="D13" s="12" t="n">
        <v>229.181</v>
      </c>
      <c r="E13" s="6" t="s">
        <v>98</v>
      </c>
      <c r="F13" s="6" t="str">
        <f aca="false">IF(AND(ISNUMBER(B13),ISNUMBER(C13),ISNUMBER(D13)),"PASS","CHECK")</f>
        <v>PASS</v>
      </c>
    </row>
    <row r="14" customFormat="false" ht="30" hidden="false" customHeight="true" outlineLevel="0" collapsed="false">
      <c r="A14" s="5" t="s">
        <v>106</v>
      </c>
      <c r="B14" s="12" t="n">
        <v>-15.447</v>
      </c>
      <c r="C14" s="12" t="n">
        <v>-18.022</v>
      </c>
      <c r="D14" s="12" t="n">
        <v>14.172</v>
      </c>
      <c r="E14" s="6" t="s">
        <v>98</v>
      </c>
      <c r="F14" s="6" t="str">
        <f aca="false">IF(AND(ISNUMBER(B14),ISNUMBER(C14),ISNUMBER(D14)),"PASS","CHECK")</f>
        <v>PASS</v>
      </c>
    </row>
    <row r="15" customFormat="false" ht="30" hidden="false" customHeight="true" outlineLevel="0" collapsed="false">
      <c r="A15" s="5" t="s">
        <v>107</v>
      </c>
      <c r="B15" s="12" t="n">
        <v>237.091</v>
      </c>
      <c r="C15" s="12" t="n">
        <v>489.173</v>
      </c>
      <c r="D15" s="12" t="n">
        <v>1657.368</v>
      </c>
      <c r="E15" s="6" t="s">
        <v>98</v>
      </c>
      <c r="F15" s="6" t="str">
        <f aca="false">IF(AND(ISNUMBER(B15),ISNUMBER(C15),ISNUMBER(D15)),"PASS","CHECK")</f>
        <v>PASS</v>
      </c>
    </row>
    <row r="16" customFormat="false" ht="30" hidden="false" customHeight="true" outlineLevel="0" collapsed="false">
      <c r="A16" s="5" t="s">
        <v>108</v>
      </c>
      <c r="B16" s="12" t="n">
        <v>19.716</v>
      </c>
      <c r="C16" s="12" t="n">
        <v>21.255</v>
      </c>
      <c r="D16" s="12" t="n">
        <v>22.724</v>
      </c>
      <c r="E16" s="6" t="s">
        <v>98</v>
      </c>
      <c r="F16" s="6" t="str">
        <f aca="false">IF(AND(ISNUMBER(B16),ISNUMBER(C16),ISNUMBER(D16)),"PASS","CHECK")</f>
        <v>PASS</v>
      </c>
    </row>
    <row r="17" customFormat="false" ht="30" hidden="false" customHeight="true" outlineLevel="0" collapsed="false">
      <c r="A17" s="5" t="s">
        <v>109</v>
      </c>
      <c r="B17" s="12" t="n">
        <v>217.375</v>
      </c>
      <c r="C17" s="12" t="n">
        <v>467.918</v>
      </c>
      <c r="D17" s="12" t="n">
        <v>1634.644</v>
      </c>
      <c r="E17" s="6" t="s">
        <v>98</v>
      </c>
      <c r="F17" s="6" t="str">
        <f aca="false">IF(AND(ISNUMBER(B17),ISNUMBER(C17),ISNUMBER(D17)),"PASS","CHECK")</f>
        <v>PASS</v>
      </c>
    </row>
    <row r="18" customFormat="false" ht="30" hidden="false" customHeight="true" outlineLevel="0" collapsed="false">
      <c r="A18" s="5" t="s">
        <v>110</v>
      </c>
      <c r="B18" s="12" t="n">
        <v>7.55</v>
      </c>
      <c r="C18" s="12" t="n">
        <v>5.728</v>
      </c>
      <c r="D18" s="12" t="n">
        <v>9.611</v>
      </c>
      <c r="E18" s="6" t="s">
        <v>98</v>
      </c>
      <c r="F18" s="6" t="str">
        <f aca="false">IF(AND(ISNUMBER(B18),ISNUMBER(C18),ISNUMBER(D18)),"PASS","CHECK")</f>
        <v>PASS</v>
      </c>
    </row>
    <row r="19" customFormat="false" ht="30" hidden="false" customHeight="true" outlineLevel="0" collapsed="false">
      <c r="A19" s="5" t="s">
        <v>111</v>
      </c>
      <c r="B19" s="12" t="n">
        <v>209.825</v>
      </c>
      <c r="C19" s="12" t="n">
        <v>462.19</v>
      </c>
      <c r="D19" s="12" t="n">
        <v>1625.033</v>
      </c>
      <c r="E19" s="6" t="s">
        <v>98</v>
      </c>
      <c r="F19" s="6" t="str">
        <f aca="false">IF(AND(ISNUMBER(B19),ISNUMBER(C19),ISNUMBER(D19)),"PASS","CHECK")</f>
        <v>PASS</v>
      </c>
    </row>
    <row r="20" customFormat="false" ht="30" hidden="false" customHeight="true" outlineLevel="0" collapsed="false">
      <c r="A20" s="5" t="s">
        <v>112</v>
      </c>
      <c r="B20" s="12" t="n">
        <v>2297.927</v>
      </c>
      <c r="C20" s="12" t="n">
        <v>2450.818</v>
      </c>
      <c r="D20" s="12" t="n">
        <v>2565.197</v>
      </c>
      <c r="E20" s="6" t="s">
        <v>98</v>
      </c>
      <c r="F20" s="6" t="str">
        <f aca="false">IF(AND(ISNUMBER(B20),ISNUMBER(C20),ISNUMBER(D20)),"PASS","CHECK")</f>
        <v>PASS</v>
      </c>
    </row>
    <row r="21" customFormat="false" ht="18" hidden="false" customHeight="true" outlineLevel="0" collapsed="false">
      <c r="A21" s="4" t="s">
        <v>113</v>
      </c>
      <c r="B21" s="4"/>
      <c r="C21" s="4"/>
      <c r="D21" s="4"/>
      <c r="E21" s="4"/>
      <c r="F21" s="4"/>
      <c r="G21" s="4"/>
    </row>
    <row r="22" customFormat="false" ht="30" hidden="false" customHeight="true" outlineLevel="0" collapsed="false">
      <c r="A22" s="5" t="s">
        <v>114</v>
      </c>
      <c r="B22" s="12" t="n">
        <v>831.047</v>
      </c>
      <c r="C22" s="12" t="n">
        <v>2098.524</v>
      </c>
      <c r="D22" s="12" t="n">
        <v>1423.796</v>
      </c>
      <c r="E22" s="6" t="s">
        <v>98</v>
      </c>
      <c r="F22" s="6" t="str">
        <f aca="false">IF(AND(ISNUMBER(B22),ISNUMBER(C22),ISNUMBER(D22)),"PASS","CHECK")</f>
        <v>PASS</v>
      </c>
    </row>
    <row r="23" customFormat="false" ht="30" hidden="false" customHeight="true" outlineLevel="0" collapsed="false">
      <c r="A23" s="5" t="s">
        <v>115</v>
      </c>
      <c r="B23" s="12" t="n">
        <v>2843.132</v>
      </c>
      <c r="C23" s="12" t="n">
        <v>3131.463</v>
      </c>
      <c r="D23" s="12" t="n">
        <v>5753.247</v>
      </c>
      <c r="E23" s="6" t="s">
        <v>98</v>
      </c>
      <c r="F23" s="6" t="str">
        <f aca="false">IF(AND(ISNUMBER(B23),ISNUMBER(C23),ISNUMBER(D23)),"PASS","CHECK")</f>
        <v>PASS</v>
      </c>
    </row>
    <row r="24" customFormat="false" ht="30" hidden="false" customHeight="true" outlineLevel="0" collapsed="false">
      <c r="A24" s="5" t="s">
        <v>116</v>
      </c>
      <c r="B24" s="12" t="n">
        <v>364.784</v>
      </c>
      <c r="C24" s="12" t="n">
        <v>575.048</v>
      </c>
      <c r="D24" s="12" t="n">
        <v>1042.065</v>
      </c>
      <c r="E24" s="6" t="s">
        <v>98</v>
      </c>
      <c r="F24" s="6" t="str">
        <f aca="false">IF(AND(ISNUMBER(B24),ISNUMBER(C24),ISNUMBER(D24)),"PASS","CHECK")</f>
        <v>PASS</v>
      </c>
    </row>
    <row r="25" customFormat="false" ht="30" hidden="false" customHeight="true" outlineLevel="0" collapsed="false">
      <c r="A25" s="5" t="s">
        <v>117</v>
      </c>
      <c r="B25" s="12" t="n">
        <v>99.655</v>
      </c>
      <c r="C25" s="12" t="n">
        <v>129.254</v>
      </c>
      <c r="D25" s="12" t="n">
        <v>139.066</v>
      </c>
      <c r="E25" s="6" t="s">
        <v>98</v>
      </c>
      <c r="F25" s="6" t="str">
        <f aca="false">IF(AND(ISNUMBER(B25),ISNUMBER(C25),ISNUMBER(D25)),"PASS","CHECK")</f>
        <v>PASS</v>
      </c>
    </row>
    <row r="26" customFormat="false" ht="30" hidden="false" customHeight="true" outlineLevel="0" collapsed="false">
      <c r="A26" s="5" t="s">
        <v>118</v>
      </c>
      <c r="B26" s="12" t="n">
        <v>4138.618</v>
      </c>
      <c r="C26" s="12" t="n">
        <v>5934.289</v>
      </c>
      <c r="D26" s="12" t="n">
        <v>8358.174</v>
      </c>
      <c r="E26" s="6" t="s">
        <v>98</v>
      </c>
      <c r="F26" s="6" t="str">
        <f aca="false">IF(AND(ISNUMBER(B26),ISNUMBER(C26),ISNUMBER(D26)),"PASS","CHECK")</f>
        <v>PASS</v>
      </c>
    </row>
    <row r="27" customFormat="false" ht="30" hidden="false" customHeight="true" outlineLevel="0" collapsed="false">
      <c r="A27" s="5" t="s">
        <v>119</v>
      </c>
      <c r="B27" s="12" t="n">
        <v>47.758</v>
      </c>
      <c r="C27" s="12" t="n">
        <v>39.638</v>
      </c>
      <c r="D27" s="12" t="n">
        <v>51.96</v>
      </c>
      <c r="E27" s="6" t="s">
        <v>98</v>
      </c>
      <c r="F27" s="6" t="str">
        <f aca="false">IF(AND(ISNUMBER(B27),ISNUMBER(C27),ISNUMBER(D27)),"PASS","CHECK")</f>
        <v>PASS</v>
      </c>
    </row>
    <row r="28" customFormat="false" ht="30" hidden="false" customHeight="true" outlineLevel="0" collapsed="false">
      <c r="A28" s="5" t="s">
        <v>120</v>
      </c>
      <c r="B28" s="12" t="n">
        <v>182.863</v>
      </c>
      <c r="C28" s="12" t="n">
        <v>200.74</v>
      </c>
      <c r="D28" s="12" t="n">
        <v>200.105</v>
      </c>
      <c r="E28" s="6" t="s">
        <v>98</v>
      </c>
      <c r="F28" s="6" t="str">
        <f aca="false">IF(AND(ISNUMBER(B28),ISNUMBER(C28),ISNUMBER(D28)),"PASS","CHECK")</f>
        <v>PASS</v>
      </c>
    </row>
    <row r="29" customFormat="false" ht="30" hidden="false" customHeight="true" outlineLevel="0" collapsed="false">
      <c r="A29" s="5" t="s">
        <v>121</v>
      </c>
      <c r="B29" s="12" t="n">
        <v>153.186</v>
      </c>
      <c r="C29" s="12" t="n">
        <v>166.217</v>
      </c>
      <c r="D29" s="12" t="n">
        <v>290.153</v>
      </c>
      <c r="E29" s="6" t="s">
        <v>98</v>
      </c>
      <c r="F29" s="6" t="str">
        <f aca="false">IF(AND(ISNUMBER(B29),ISNUMBER(C29),ISNUMBER(D29)),"PASS","CHECK")</f>
        <v>PASS</v>
      </c>
    </row>
    <row r="30" customFormat="false" ht="30" hidden="false" customHeight="true" outlineLevel="0" collapsed="false">
      <c r="A30" s="5" t="s">
        <v>122</v>
      </c>
      <c r="B30" s="12" t="n">
        <v>4522.425</v>
      </c>
      <c r="C30" s="12" t="n">
        <v>6340.884</v>
      </c>
      <c r="D30" s="12" t="n">
        <v>8900.392</v>
      </c>
      <c r="E30" s="6" t="s">
        <v>98</v>
      </c>
      <c r="F30" s="6" t="str">
        <f aca="false">IF(AND(ISNUMBER(B30),ISNUMBER(C30),ISNUMBER(D30)),"PASS","CHECK")</f>
        <v>PASS</v>
      </c>
    </row>
    <row r="31" customFormat="false" ht="30" hidden="false" customHeight="true" outlineLevel="0" collapsed="false">
      <c r="A31" s="5" t="s">
        <v>123</v>
      </c>
      <c r="B31" s="12" t="n">
        <v>12.122</v>
      </c>
      <c r="C31" s="12" t="n">
        <v>0.103</v>
      </c>
      <c r="D31" s="12" t="n">
        <v>8.064</v>
      </c>
      <c r="E31" s="6" t="s">
        <v>98</v>
      </c>
      <c r="F31" s="6" t="str">
        <f aca="false">IF(AND(ISNUMBER(B31),ISNUMBER(C31),ISNUMBER(D31)),"PASS","CHECK")</f>
        <v>PASS</v>
      </c>
    </row>
    <row r="32" customFormat="false" ht="30" hidden="false" customHeight="true" outlineLevel="0" collapsed="false">
      <c r="A32" s="5" t="s">
        <v>124</v>
      </c>
      <c r="B32" s="12" t="n">
        <v>222.991</v>
      </c>
      <c r="C32" s="12" t="n">
        <v>427.046</v>
      </c>
      <c r="D32" s="12" t="n">
        <v>355.624</v>
      </c>
      <c r="E32" s="6" t="s">
        <v>98</v>
      </c>
      <c r="F32" s="6" t="str">
        <f aca="false">IF(AND(ISNUMBER(B32),ISNUMBER(C32),ISNUMBER(D32)),"PASS","CHECK")</f>
        <v>PASS</v>
      </c>
    </row>
    <row r="33" customFormat="false" ht="30" hidden="false" customHeight="true" outlineLevel="0" collapsed="false">
      <c r="A33" s="5" t="s">
        <v>125</v>
      </c>
      <c r="B33" s="12" t="n">
        <v>246.901</v>
      </c>
      <c r="C33" s="12" t="n">
        <v>259.624</v>
      </c>
      <c r="D33" s="12" t="n">
        <v>408.963</v>
      </c>
      <c r="E33" s="6" t="s">
        <v>98</v>
      </c>
      <c r="F33" s="6" t="str">
        <f aca="false">IF(AND(ISNUMBER(B33),ISNUMBER(C33),ISNUMBER(D33)),"PASS","CHECK")</f>
        <v>PASS</v>
      </c>
    </row>
    <row r="34" customFormat="false" ht="30" hidden="false" customHeight="true" outlineLevel="0" collapsed="false">
      <c r="A34" s="5" t="s">
        <v>126</v>
      </c>
      <c r="B34" s="12" t="n">
        <v>209.828</v>
      </c>
      <c r="C34" s="12" t="n">
        <v>265.252</v>
      </c>
      <c r="D34" s="12" t="n">
        <v>357.066</v>
      </c>
      <c r="E34" s="6" t="s">
        <v>98</v>
      </c>
      <c r="F34" s="6" t="str">
        <f aca="false">IF(AND(ISNUMBER(B34),ISNUMBER(C34),ISNUMBER(D34)),"PASS","CHECK")</f>
        <v>PASS</v>
      </c>
    </row>
    <row r="35" customFormat="false" ht="30" hidden="false" customHeight="true" outlineLevel="0" collapsed="false">
      <c r="A35" s="5" t="s">
        <v>127</v>
      </c>
      <c r="B35" s="12" t="n">
        <v>54.176</v>
      </c>
      <c r="C35" s="12" t="n">
        <v>43.993</v>
      </c>
      <c r="D35" s="12" t="n">
        <v>45.864</v>
      </c>
      <c r="E35" s="6" t="s">
        <v>98</v>
      </c>
      <c r="F35" s="6" t="str">
        <f aca="false">IF(AND(ISNUMBER(B35),ISNUMBER(C35),ISNUMBER(D35)),"PASS","CHECK")</f>
        <v>PASS</v>
      </c>
    </row>
    <row r="36" customFormat="false" ht="30" hidden="false" customHeight="true" outlineLevel="0" collapsed="false">
      <c r="A36" s="5" t="s">
        <v>128</v>
      </c>
      <c r="B36" s="12" t="n">
        <v>746.018</v>
      </c>
      <c r="C36" s="12" t="n">
        <v>996.018</v>
      </c>
      <c r="D36" s="12" t="n">
        <v>1175.581</v>
      </c>
      <c r="E36" s="6" t="s">
        <v>98</v>
      </c>
      <c r="F36" s="6" t="str">
        <f aca="false">IF(AND(ISNUMBER(B36),ISNUMBER(C36),ISNUMBER(D36)),"PASS","CHECK")</f>
        <v>PASS</v>
      </c>
    </row>
    <row r="37" customFormat="false" ht="30" hidden="false" customHeight="true" outlineLevel="0" collapsed="false">
      <c r="A37" s="5" t="s">
        <v>129</v>
      </c>
      <c r="B37" s="12" t="n">
        <v>28.047</v>
      </c>
      <c r="C37" s="12" t="n">
        <v>39.885</v>
      </c>
      <c r="D37" s="12" t="n">
        <v>46.216</v>
      </c>
      <c r="E37" s="6" t="s">
        <v>98</v>
      </c>
      <c r="F37" s="6" t="str">
        <f aca="false">IF(AND(ISNUMBER(B37),ISNUMBER(C37),ISNUMBER(D37)),"PASS","CHECK")</f>
        <v>PASS</v>
      </c>
    </row>
    <row r="38" customFormat="false" ht="30" hidden="false" customHeight="true" outlineLevel="0" collapsed="false">
      <c r="A38" s="5" t="s">
        <v>130</v>
      </c>
      <c r="B38" s="12" t="n">
        <v>1.477</v>
      </c>
      <c r="C38" s="12" t="n">
        <v>1.663</v>
      </c>
      <c r="D38" s="12" t="n">
        <v>0.018</v>
      </c>
      <c r="E38" s="6" t="s">
        <v>98</v>
      </c>
      <c r="F38" s="6" t="str">
        <f aca="false">IF(AND(ISNUMBER(B38),ISNUMBER(C38),ISNUMBER(D38)),"PASS","CHECK")</f>
        <v>PASS</v>
      </c>
    </row>
    <row r="39" customFormat="false" ht="30" hidden="false" customHeight="true" outlineLevel="0" collapsed="false">
      <c r="A39" s="5" t="s">
        <v>131</v>
      </c>
      <c r="B39" s="12" t="n">
        <v>175.216</v>
      </c>
      <c r="C39" s="12" t="n">
        <v>195.226</v>
      </c>
      <c r="D39" s="12" t="n">
        <v>183.474</v>
      </c>
      <c r="E39" s="6" t="s">
        <v>98</v>
      </c>
      <c r="F39" s="6" t="str">
        <f aca="false">IF(AND(ISNUMBER(B39),ISNUMBER(C39),ISNUMBER(D39)),"PASS","CHECK")</f>
        <v>PASS</v>
      </c>
    </row>
    <row r="40" customFormat="false" ht="30" hidden="false" customHeight="true" outlineLevel="0" collapsed="false">
      <c r="A40" s="5" t="s">
        <v>132</v>
      </c>
      <c r="B40" s="12" t="n">
        <v>10.702</v>
      </c>
      <c r="C40" s="12" t="n">
        <v>13.685</v>
      </c>
      <c r="D40" s="12" t="n">
        <v>7.092</v>
      </c>
      <c r="E40" s="6" t="s">
        <v>98</v>
      </c>
      <c r="F40" s="6" t="str">
        <f aca="false">IF(AND(ISNUMBER(B40),ISNUMBER(C40),ISNUMBER(D40)),"PASS","CHECK")</f>
        <v>PASS</v>
      </c>
    </row>
    <row r="41" customFormat="false" ht="30" hidden="false" customHeight="true" outlineLevel="0" collapsed="false">
      <c r="A41" s="5" t="s">
        <v>133</v>
      </c>
      <c r="B41" s="12" t="n">
        <v>961.46</v>
      </c>
      <c r="C41" s="12" t="n">
        <v>1246.477</v>
      </c>
      <c r="D41" s="12" t="n">
        <v>1412.381</v>
      </c>
      <c r="E41" s="6" t="s">
        <v>98</v>
      </c>
      <c r="F41" s="6" t="str">
        <f aca="false">IF(AND(ISNUMBER(B41),ISNUMBER(C41),ISNUMBER(D41)),"PASS","CHECK")</f>
        <v>PASS</v>
      </c>
    </row>
    <row r="42" customFormat="false" ht="30" hidden="false" customHeight="true" outlineLevel="0" collapsed="false">
      <c r="A42" s="5" t="s">
        <v>134</v>
      </c>
      <c r="B42" s="12" t="n">
        <v>2.2</v>
      </c>
      <c r="C42" s="12" t="n">
        <v>2.339</v>
      </c>
      <c r="D42" s="12" t="n">
        <v>2.391</v>
      </c>
      <c r="E42" s="6" t="s">
        <v>98</v>
      </c>
      <c r="F42" s="6" t="str">
        <f aca="false">IF(AND(ISNUMBER(B42),ISNUMBER(C42),ISNUMBER(D42)),"PASS","CHECK")</f>
        <v>PASS</v>
      </c>
    </row>
    <row r="43" customFormat="false" ht="30" hidden="false" customHeight="true" outlineLevel="0" collapsed="false">
      <c r="A43" s="5" t="s">
        <v>135</v>
      </c>
      <c r="B43" s="12" t="n">
        <v>9122.173</v>
      </c>
      <c r="C43" s="12" t="n">
        <v>10193.97</v>
      </c>
      <c r="D43" s="12" t="n">
        <v>10933.325</v>
      </c>
      <c r="E43" s="6" t="s">
        <v>98</v>
      </c>
      <c r="F43" s="6" t="str">
        <f aca="false">IF(AND(ISNUMBER(B43),ISNUMBER(C43),ISNUMBER(D43)),"PASS","CHECK")</f>
        <v>PASS</v>
      </c>
    </row>
    <row r="44" customFormat="false" ht="30" hidden="false" customHeight="true" outlineLevel="0" collapsed="false">
      <c r="A44" s="5" t="s">
        <v>136</v>
      </c>
      <c r="B44" s="12" t="n">
        <v>0.801</v>
      </c>
      <c r="C44" s="12" t="n">
        <v>-5.611</v>
      </c>
      <c r="D44" s="12" t="n">
        <v>13.942</v>
      </c>
      <c r="E44" s="6" t="s">
        <v>98</v>
      </c>
      <c r="F44" s="6" t="str">
        <f aca="false">IF(AND(ISNUMBER(B44),ISNUMBER(C44),ISNUMBER(D44)),"PASS","CHECK")</f>
        <v>PASS</v>
      </c>
    </row>
    <row r="45" customFormat="false" ht="30" hidden="false" customHeight="true" outlineLevel="0" collapsed="false">
      <c r="A45" s="5" t="s">
        <v>137</v>
      </c>
      <c r="B45" s="12" t="n">
        <v>-5649.613</v>
      </c>
      <c r="C45" s="12" t="n">
        <v>-5187.423</v>
      </c>
      <c r="D45" s="12" t="n">
        <v>-3562.39</v>
      </c>
      <c r="E45" s="6" t="s">
        <v>98</v>
      </c>
      <c r="F45" s="6" t="str">
        <f aca="false">IF(AND(ISNUMBER(B45),ISNUMBER(C45),ISNUMBER(D45)),"PASS","CHECK")</f>
        <v>PASS</v>
      </c>
    </row>
    <row r="46" customFormat="false" ht="30" hidden="false" customHeight="true" outlineLevel="0" collapsed="false">
      <c r="A46" s="5" t="s">
        <v>138</v>
      </c>
      <c r="B46" s="12" t="n">
        <v>3475.561</v>
      </c>
      <c r="C46" s="12" t="n">
        <v>5003.275</v>
      </c>
      <c r="D46" s="12" t="n">
        <v>7387.268</v>
      </c>
      <c r="E46" s="6" t="s">
        <v>98</v>
      </c>
      <c r="F46" s="6" t="str">
        <f aca="false">IF(AND(ISNUMBER(B46),ISNUMBER(C46),ISNUMBER(D46)),"PASS","CHECK")</f>
        <v>PASS</v>
      </c>
    </row>
    <row r="47" customFormat="false" ht="30" hidden="false" customHeight="true" outlineLevel="0" collapsed="false">
      <c r="A47" s="5" t="s">
        <v>139</v>
      </c>
      <c r="B47" s="12" t="n">
        <v>85.404</v>
      </c>
      <c r="C47" s="12" t="n">
        <v>91.132</v>
      </c>
      <c r="D47" s="12" t="n">
        <v>100.743</v>
      </c>
      <c r="E47" s="6" t="s">
        <v>98</v>
      </c>
      <c r="F47" s="6" t="str">
        <f aca="false">IF(AND(ISNUMBER(B47),ISNUMBER(C47),ISNUMBER(D47)),"PASS","CHECK")</f>
        <v>PASS</v>
      </c>
    </row>
    <row r="48" customFormat="false" ht="30" hidden="false" customHeight="true" outlineLevel="0" collapsed="false">
      <c r="A48" s="5" t="s">
        <v>140</v>
      </c>
      <c r="B48" s="12" t="n">
        <v>3560.965</v>
      </c>
      <c r="C48" s="12" t="n">
        <v>5094.407</v>
      </c>
      <c r="D48" s="12" t="n">
        <v>7488.011</v>
      </c>
      <c r="E48" s="6" t="s">
        <v>98</v>
      </c>
      <c r="F48" s="6" t="str">
        <f aca="false">IF(AND(ISNUMBER(B48),ISNUMBER(C48),ISNUMBER(D48)),"PASS","CHECK")</f>
        <v>PASS</v>
      </c>
    </row>
    <row r="49" customFormat="false" ht="30" hidden="false" customHeight="true" outlineLevel="0" collapsed="false">
      <c r="A49" s="5" t="s">
        <v>141</v>
      </c>
      <c r="B49" s="12" t="n">
        <v>4522.425</v>
      </c>
      <c r="C49" s="12" t="n">
        <v>6340.884</v>
      </c>
      <c r="D49" s="12" t="n">
        <v>8900.392</v>
      </c>
      <c r="E49" s="6" t="s">
        <v>98</v>
      </c>
      <c r="F49" s="6" t="str">
        <f aca="false">IF(AND(ISNUMBER(B49),ISNUMBER(C49),ISNUMBER(D49)),"PASS","CHECK")</f>
        <v>PASS</v>
      </c>
    </row>
    <row r="50" customFormat="false" ht="18" hidden="false" customHeight="true" outlineLevel="0" collapsed="false">
      <c r="A50" s="4" t="s">
        <v>142</v>
      </c>
      <c r="B50" s="4"/>
      <c r="C50" s="4"/>
      <c r="D50" s="4"/>
      <c r="E50" s="4"/>
      <c r="F50" s="4"/>
      <c r="G50" s="4"/>
    </row>
    <row r="51" customFormat="false" ht="30" hidden="false" customHeight="true" outlineLevel="0" collapsed="false">
      <c r="A51" s="5" t="s">
        <v>109</v>
      </c>
      <c r="B51" s="12" t="n">
        <v>217.375</v>
      </c>
      <c r="C51" s="12" t="n">
        <v>467.918</v>
      </c>
      <c r="D51" s="12" t="n">
        <v>1634.644</v>
      </c>
      <c r="E51" s="6" t="s">
        <v>98</v>
      </c>
      <c r="F51" s="6" t="str">
        <f aca="false">IF(AND(ISNUMBER(B51),ISNUMBER(C51),ISNUMBER(D51)),"PASS","CHECK")</f>
        <v>PASS</v>
      </c>
    </row>
    <row r="52" customFormat="false" ht="30" hidden="false" customHeight="true" outlineLevel="0" collapsed="false">
      <c r="A52" s="5" t="s">
        <v>143</v>
      </c>
      <c r="B52" s="12" t="n">
        <v>33.354</v>
      </c>
      <c r="C52" s="12" t="n">
        <v>31.587</v>
      </c>
      <c r="D52" s="12" t="n">
        <v>26.145</v>
      </c>
      <c r="E52" s="6" t="s">
        <v>98</v>
      </c>
      <c r="F52" s="6" t="str">
        <f aca="false">IF(AND(ISNUMBER(B52),ISNUMBER(C52),ISNUMBER(D52)),"PASS","CHECK")</f>
        <v>PASS</v>
      </c>
    </row>
    <row r="53" customFormat="false" ht="30" hidden="false" customHeight="true" outlineLevel="0" collapsed="false">
      <c r="A53" s="5" t="s">
        <v>144</v>
      </c>
      <c r="B53" s="12" t="n">
        <v>475.903</v>
      </c>
      <c r="C53" s="12" t="n">
        <v>691.638</v>
      </c>
      <c r="D53" s="12" t="n">
        <v>684.033</v>
      </c>
      <c r="E53" s="6" t="s">
        <v>98</v>
      </c>
      <c r="F53" s="6" t="str">
        <f aca="false">IF(AND(ISNUMBER(B53),ISNUMBER(C53),ISNUMBER(D53)),"PASS","CHECK")</f>
        <v>PASS</v>
      </c>
    </row>
    <row r="54" customFormat="false" ht="30" hidden="false" customHeight="true" outlineLevel="0" collapsed="false">
      <c r="A54" s="5" t="s">
        <v>145</v>
      </c>
      <c r="B54" s="12" t="n">
        <v>-106.159</v>
      </c>
      <c r="C54" s="12" t="n">
        <v>-211.157</v>
      </c>
      <c r="D54" s="12" t="n">
        <v>-450.429</v>
      </c>
      <c r="E54" s="6" t="s">
        <v>98</v>
      </c>
      <c r="F54" s="6" t="str">
        <f aca="false">IF(AND(ISNUMBER(B54),ISNUMBER(C54),ISNUMBER(D54)),"PASS","CHECK")</f>
        <v>PASS</v>
      </c>
    </row>
    <row r="55" customFormat="false" ht="30" hidden="false" customHeight="true" outlineLevel="0" collapsed="false">
      <c r="A55" s="5" t="s">
        <v>146</v>
      </c>
      <c r="B55" s="12" t="n">
        <v>143.859</v>
      </c>
      <c r="C55" s="12" t="n">
        <v>76.796</v>
      </c>
      <c r="D55" s="12" t="n">
        <v>238.688</v>
      </c>
      <c r="E55" s="6" t="s">
        <v>98</v>
      </c>
      <c r="F55" s="6" t="str">
        <f aca="false">IF(AND(ISNUMBER(B55),ISNUMBER(C55),ISNUMBER(D55)),"PASS","CHECK")</f>
        <v>PASS</v>
      </c>
    </row>
    <row r="56" customFormat="false" ht="30" hidden="false" customHeight="true" outlineLevel="0" collapsed="false">
      <c r="A56" s="5" t="s">
        <v>147</v>
      </c>
      <c r="B56" s="12" t="n">
        <v>712.183</v>
      </c>
      <c r="C56" s="12" t="n">
        <v>1153.865</v>
      </c>
      <c r="D56" s="12" t="n">
        <v>2134.473</v>
      </c>
      <c r="E56" s="6" t="s">
        <v>98</v>
      </c>
      <c r="F56" s="6" t="str">
        <f aca="false">IF(AND(ISNUMBER(B56),ISNUMBER(C56),ISNUMBER(D56)),"PASS","CHECK")</f>
        <v>PASS</v>
      </c>
    </row>
    <row r="57" customFormat="false" ht="30" hidden="false" customHeight="true" outlineLevel="0" collapsed="false">
      <c r="A57" s="5" t="s">
        <v>148</v>
      </c>
      <c r="B57" s="12" t="n">
        <v>-15.114</v>
      </c>
      <c r="C57" s="12" t="n">
        <v>-12.634</v>
      </c>
      <c r="D57" s="12" t="n">
        <v>-33.882</v>
      </c>
      <c r="E57" s="6" t="s">
        <v>98</v>
      </c>
      <c r="F57" s="6" t="str">
        <f aca="false">IF(AND(ISNUMBER(B57),ISNUMBER(C57),ISNUMBER(D57)),"PASS","CHECK")</f>
        <v>PASS</v>
      </c>
    </row>
    <row r="58" customFormat="false" ht="30" hidden="false" customHeight="true" outlineLevel="0" collapsed="false">
      <c r="A58" s="5" t="s">
        <v>149</v>
      </c>
      <c r="B58" s="12" t="n">
        <v>-2711.18</v>
      </c>
      <c r="C58" s="12" t="n">
        <v>-340.655</v>
      </c>
      <c r="D58" s="12" t="n">
        <v>-2783.551</v>
      </c>
      <c r="E58" s="6" t="s">
        <v>98</v>
      </c>
      <c r="F58" s="6" t="str">
        <f aca="false">IF(AND(ISNUMBER(B58),ISNUMBER(C58),ISNUMBER(D58)),"PASS","CHECK")</f>
        <v>PASS</v>
      </c>
    </row>
    <row r="59" customFormat="false" ht="30" hidden="false" customHeight="true" outlineLevel="0" collapsed="false">
      <c r="A59" s="5" t="s">
        <v>150</v>
      </c>
      <c r="B59" s="12" t="n">
        <v>218.839</v>
      </c>
      <c r="C59" s="12" t="n">
        <v>463.364</v>
      </c>
      <c r="D59" s="12" t="n">
        <v>-26.91</v>
      </c>
      <c r="E59" s="6" t="s">
        <v>98</v>
      </c>
      <c r="F59" s="6" t="str">
        <f aca="false">IF(AND(ISNUMBER(B59),ISNUMBER(C59),ISNUMBER(D59)),"PASS","CHECK")</f>
        <v>PASS</v>
      </c>
    </row>
    <row r="60" customFormat="false" ht="30" hidden="false" customHeight="true" outlineLevel="0" collapsed="false">
      <c r="A60" s="5" t="s">
        <v>151</v>
      </c>
      <c r="B60" s="12" t="n">
        <v>2.93</v>
      </c>
      <c r="C60" s="12" t="n">
        <v>-6.745</v>
      </c>
      <c r="D60" s="12" t="n">
        <v>7.477</v>
      </c>
      <c r="E60" s="6" t="s">
        <v>98</v>
      </c>
      <c r="F60" s="6" t="str">
        <f aca="false">IF(AND(ISNUMBER(B60),ISNUMBER(C60),ISNUMBER(D60)),"PASS","CHECK")</f>
        <v>PASS</v>
      </c>
    </row>
    <row r="61" customFormat="false" ht="30" hidden="false" customHeight="true" outlineLevel="0" collapsed="false">
      <c r="A61" s="5" t="s">
        <v>152</v>
      </c>
      <c r="B61" s="12" t="n">
        <v>-1777.228</v>
      </c>
      <c r="C61" s="12" t="n">
        <v>1269.829</v>
      </c>
      <c r="D61" s="12" t="n">
        <v>-668.511</v>
      </c>
      <c r="E61" s="6" t="s">
        <v>98</v>
      </c>
      <c r="F61" s="6" t="str">
        <f aca="false">IF(AND(ISNUMBER(B61),ISNUMBER(C61),ISNUMBER(D61)),"PASS","CHECK")</f>
        <v>PASS</v>
      </c>
    </row>
    <row r="62" customFormat="false" ht="30" hidden="false" customHeight="true" outlineLevel="0" collapsed="false">
      <c r="A62" s="5" t="s">
        <v>153</v>
      </c>
      <c r="B62" s="12" t="n">
        <v>850.107</v>
      </c>
      <c r="C62" s="12" t="n">
        <v>2119.936</v>
      </c>
      <c r="D62" s="12" t="n">
        <v>1451.425</v>
      </c>
      <c r="E62" s="6" t="s">
        <v>98</v>
      </c>
      <c r="F62" s="6" t="str">
        <f aca="false">IF(AND(ISNUMBER(B62),ISNUMBER(C62),ISNUMBER(D62)),"PASS","CHECK")</f>
        <v>PASS</v>
      </c>
    </row>
  </sheetData>
  <mergeCells count="4">
    <mergeCell ref="A1:G1"/>
    <mergeCell ref="A4:G4"/>
    <mergeCell ref="A21:G21"/>
    <mergeCell ref="A50:G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9" min="2" style="1" width="48"/>
  </cols>
  <sheetData>
    <row r="1" customFormat="false" ht="18" hidden="false" customHeight="true" outlineLevel="0" collapsed="false">
      <c r="A1" s="2" t="s">
        <v>154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/>
    <row r="3" customFormat="false" ht="18" hidden="false" customHeight="true" outlineLevel="0" collapsed="false">
      <c r="A3" s="7" t="s">
        <v>89</v>
      </c>
      <c r="B3" s="7" t="s">
        <v>92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155</v>
      </c>
      <c r="I3" s="7" t="s">
        <v>95</v>
      </c>
    </row>
    <row r="4" customFormat="false" ht="18" hidden="false" customHeight="true" outlineLevel="0" collapsed="false">
      <c r="A4" s="4" t="s">
        <v>96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A5" s="5" t="s">
        <v>97</v>
      </c>
      <c r="B5" s="13" t="n">
        <f aca="false">'Historical Financials'!D5</f>
        <v>4475.446</v>
      </c>
      <c r="C5" s="14" t="n">
        <f aca="false">B5*(1+Inputs!B4)</f>
        <v>6041.8521</v>
      </c>
      <c r="D5" s="14" t="n">
        <f aca="false">C5*(1+Inputs!C4)</f>
        <v>7733.570688</v>
      </c>
      <c r="E5" s="14" t="n">
        <f aca="false">D5*(1+Inputs!D4)</f>
        <v>9434.95623936</v>
      </c>
      <c r="F5" s="14" t="n">
        <f aca="false">E5*(1+Inputs!E4)</f>
        <v>11133.2483624448</v>
      </c>
      <c r="G5" s="14" t="n">
        <f aca="false">F5*(1+Inputs!F4)</f>
        <v>12803.2356168115</v>
      </c>
      <c r="H5" s="6" t="s">
        <v>156</v>
      </c>
    </row>
    <row r="6" customFormat="false" ht="15" hidden="false" customHeight="true" outlineLevel="0" collapsed="false">
      <c r="A6" s="5" t="s">
        <v>32</v>
      </c>
      <c r="B6" s="15" t="n">
        <f aca="false">B5/'Historical Financials'!C5-1</f>
        <v>0.561833909322155</v>
      </c>
      <c r="C6" s="16" t="n">
        <f aca="false">C5/B5-1</f>
        <v>0.35</v>
      </c>
      <c r="D6" s="16" t="n">
        <f aca="false">D5/C5-1</f>
        <v>0.28</v>
      </c>
      <c r="E6" s="16" t="n">
        <f aca="false">E5/D5-1</f>
        <v>0.22</v>
      </c>
      <c r="F6" s="16" t="n">
        <f aca="false">F5/E5-1</f>
        <v>0.18</v>
      </c>
      <c r="G6" s="16" t="n">
        <f aca="false">G5/F5-1</f>
        <v>0.15</v>
      </c>
      <c r="H6" s="6" t="s">
        <v>157</v>
      </c>
    </row>
    <row r="7" customFormat="false" ht="15" hidden="false" customHeight="true" outlineLevel="0" collapsed="false">
      <c r="A7" s="5" t="s">
        <v>99</v>
      </c>
      <c r="B7" s="13" t="n">
        <f aca="false">'Historical Financials'!D6</f>
        <v>789.177</v>
      </c>
      <c r="C7" s="14" t="n">
        <f aca="false">C5*Inputs!B5</f>
        <v>1057.3241175</v>
      </c>
      <c r="D7" s="14" t="n">
        <f aca="false">D5*Inputs!C5</f>
        <v>1314.70701696</v>
      </c>
      <c r="E7" s="14" t="n">
        <f aca="false">E5*Inputs!D5</f>
        <v>1585.07264821248</v>
      </c>
      <c r="F7" s="14" t="n">
        <f aca="false">F5*Inputs!E5</f>
        <v>1836.98597980339</v>
      </c>
      <c r="G7" s="14" t="n">
        <f aca="false">G5*Inputs!F5</f>
        <v>2074.12416992347</v>
      </c>
      <c r="H7" s="6" t="s">
        <v>158</v>
      </c>
    </row>
    <row r="8" customFormat="false" ht="15" hidden="false" customHeight="true" outlineLevel="0" collapsed="false">
      <c r="A8" s="5" t="s">
        <v>159</v>
      </c>
      <c r="B8" s="15" t="n">
        <f aca="false">B7/B5</f>
        <v>0.176334827858497</v>
      </c>
      <c r="C8" s="16" t="n">
        <f aca="false">C7/C5</f>
        <v>0.175</v>
      </c>
      <c r="D8" s="16" t="n">
        <f aca="false">D7/D5</f>
        <v>0.17</v>
      </c>
      <c r="E8" s="16" t="n">
        <f aca="false">E7/E5</f>
        <v>0.168</v>
      </c>
      <c r="F8" s="16" t="n">
        <f aca="false">F7/F5</f>
        <v>0.165</v>
      </c>
      <c r="G8" s="16" t="n">
        <f aca="false">G7/G5</f>
        <v>0.162</v>
      </c>
      <c r="H8" s="6" t="s">
        <v>157</v>
      </c>
    </row>
    <row r="9" customFormat="false" ht="15" hidden="false" customHeight="true" outlineLevel="0" collapsed="false">
      <c r="A9" s="5" t="s">
        <v>38</v>
      </c>
      <c r="B9" s="13" t="n">
        <f aca="false">B5-B7</f>
        <v>3686.269</v>
      </c>
      <c r="C9" s="14" t="n">
        <f aca="false">C5-C7</f>
        <v>4984.5279825</v>
      </c>
      <c r="D9" s="14" t="n">
        <f aca="false">D5-D7</f>
        <v>6418.86367104</v>
      </c>
      <c r="E9" s="14" t="n">
        <f aca="false">E5-E7</f>
        <v>7849.88359114752</v>
      </c>
      <c r="F9" s="14" t="n">
        <f aca="false">F5-F7</f>
        <v>9296.26238264141</v>
      </c>
      <c r="G9" s="14" t="n">
        <f aca="false">G5-G7</f>
        <v>10729.1114468881</v>
      </c>
      <c r="H9" s="6" t="s">
        <v>157</v>
      </c>
    </row>
    <row r="10" customFormat="false" ht="15" hidden="false" customHeight="true" outlineLevel="0" collapsed="false">
      <c r="A10" s="5" t="s">
        <v>160</v>
      </c>
      <c r="B10" s="15" t="n">
        <f aca="false">B9/B5</f>
        <v>0.823665172141503</v>
      </c>
      <c r="C10" s="16" t="n">
        <f aca="false">C9/C5</f>
        <v>0.825</v>
      </c>
      <c r="D10" s="16" t="n">
        <f aca="false">D9/D5</f>
        <v>0.83</v>
      </c>
      <c r="E10" s="16" t="n">
        <f aca="false">E9/E5</f>
        <v>0.832</v>
      </c>
      <c r="F10" s="16" t="n">
        <f aca="false">F9/F5</f>
        <v>0.835</v>
      </c>
      <c r="G10" s="16" t="n">
        <f aca="false">G9/G5</f>
        <v>0.838</v>
      </c>
      <c r="H10" s="6" t="s">
        <v>157</v>
      </c>
    </row>
    <row r="11" customFormat="false" ht="15" hidden="false" customHeight="true" outlineLevel="0" collapsed="false">
      <c r="A11" s="5" t="s">
        <v>100</v>
      </c>
      <c r="B11" s="13" t="n">
        <f aca="false">'Historical Financials'!D8</f>
        <v>1056.859</v>
      </c>
      <c r="C11" s="14" t="n">
        <f aca="false">C5*Inputs!B6</f>
        <v>1359.4167225</v>
      </c>
      <c r="D11" s="14" t="n">
        <f aca="false">D5*Inputs!C6</f>
        <v>1662.71769792</v>
      </c>
      <c r="E11" s="14" t="n">
        <f aca="false">E5*Inputs!D6</f>
        <v>1934.1660290688</v>
      </c>
      <c r="F11" s="14" t="n">
        <f aca="false">F5*Inputs!E6</f>
        <v>2170.98343067674</v>
      </c>
      <c r="G11" s="14" t="n">
        <f aca="false">G5*Inputs!F6</f>
        <v>2368.59858911013</v>
      </c>
      <c r="H11" s="6" t="s">
        <v>158</v>
      </c>
    </row>
    <row r="12" customFormat="false" ht="15" hidden="false" customHeight="true" outlineLevel="0" collapsed="false">
      <c r="A12" s="5" t="s">
        <v>161</v>
      </c>
      <c r="B12" s="15" t="n">
        <f aca="false">B11/B5</f>
        <v>0.236146073486307</v>
      </c>
      <c r="C12" s="16" t="n">
        <f aca="false">C11/C5</f>
        <v>0.225</v>
      </c>
      <c r="D12" s="16" t="n">
        <f aca="false">D11/D5</f>
        <v>0.215</v>
      </c>
      <c r="E12" s="16" t="n">
        <f aca="false">E11/E5</f>
        <v>0.205</v>
      </c>
      <c r="F12" s="16" t="n">
        <f aca="false">F11/F5</f>
        <v>0.195</v>
      </c>
      <c r="G12" s="16" t="n">
        <f aca="false">G11/G5</f>
        <v>0.185</v>
      </c>
      <c r="H12" s="6" t="s">
        <v>157</v>
      </c>
    </row>
    <row r="13" customFormat="false" ht="15" hidden="false" customHeight="true" outlineLevel="0" collapsed="false">
      <c r="A13" s="5" t="s">
        <v>101</v>
      </c>
      <c r="B13" s="13" t="n">
        <f aca="false">'Historical Financials'!D9</f>
        <v>557.677</v>
      </c>
      <c r="C13" s="14" t="n">
        <f aca="false">C5*Inputs!B7</f>
        <v>712.9385478</v>
      </c>
      <c r="D13" s="14" t="n">
        <f aca="false">D5*Inputs!C7</f>
        <v>889.36062912</v>
      </c>
      <c r="E13" s="14" t="n">
        <f aca="false">E5*Inputs!D7</f>
        <v>1056.71509880832</v>
      </c>
      <c r="F13" s="14" t="n">
        <f aca="false">F5*Inputs!E7</f>
        <v>1224.65731986893</v>
      </c>
      <c r="G13" s="14" t="n">
        <f aca="false">G5*Inputs!F7</f>
        <v>1382.74944661564</v>
      </c>
      <c r="H13" s="6" t="s">
        <v>158</v>
      </c>
    </row>
    <row r="14" customFormat="false" ht="15" hidden="false" customHeight="true" outlineLevel="0" collapsed="false">
      <c r="A14" s="5" t="s">
        <v>42</v>
      </c>
      <c r="B14" s="15" t="n">
        <f aca="false">B13/B5</f>
        <v>0.124608139613348</v>
      </c>
      <c r="C14" s="16" t="n">
        <f aca="false">C13/C5</f>
        <v>0.118</v>
      </c>
      <c r="D14" s="16" t="n">
        <f aca="false">D13/D5</f>
        <v>0.115</v>
      </c>
      <c r="E14" s="16" t="n">
        <f aca="false">E13/E5</f>
        <v>0.112</v>
      </c>
      <c r="F14" s="16" t="n">
        <f aca="false">F13/F5</f>
        <v>0.11</v>
      </c>
      <c r="G14" s="16" t="n">
        <f aca="false">G13/G5</f>
        <v>0.108</v>
      </c>
      <c r="H14" s="6" t="s">
        <v>157</v>
      </c>
    </row>
    <row r="15" customFormat="false" ht="15" hidden="false" customHeight="true" outlineLevel="0" collapsed="false">
      <c r="A15" s="5" t="s">
        <v>102</v>
      </c>
      <c r="B15" s="13" t="n">
        <f aca="false">'Historical Financials'!D10</f>
        <v>657.718</v>
      </c>
      <c r="C15" s="14" t="n">
        <f aca="false">C5*Inputs!B8</f>
        <v>857.9429982</v>
      </c>
      <c r="D15" s="14" t="n">
        <f aca="false">D5*Inputs!C8</f>
        <v>1044.03204288</v>
      </c>
      <c r="E15" s="14" t="n">
        <f aca="false">E5*Inputs!D8</f>
        <v>1226.5443111168</v>
      </c>
      <c r="F15" s="14" t="n">
        <f aca="false">F5*Inputs!E8</f>
        <v>1391.6560453056</v>
      </c>
      <c r="G15" s="14" t="n">
        <f aca="false">G5*Inputs!F8</f>
        <v>1536.38827401738</v>
      </c>
      <c r="H15" s="6" t="s">
        <v>158</v>
      </c>
    </row>
    <row r="16" customFormat="false" ht="15" hidden="false" customHeight="true" outlineLevel="0" collapsed="false">
      <c r="A16" s="5" t="s">
        <v>44</v>
      </c>
      <c r="B16" s="15" t="n">
        <f aca="false">B15/B5</f>
        <v>0.146961442502043</v>
      </c>
      <c r="C16" s="16" t="n">
        <f aca="false">C15/C5</f>
        <v>0.142</v>
      </c>
      <c r="D16" s="16" t="n">
        <f aca="false">D15/D5</f>
        <v>0.135</v>
      </c>
      <c r="E16" s="16" t="n">
        <f aca="false">E15/E5</f>
        <v>0.13</v>
      </c>
      <c r="F16" s="16" t="n">
        <f aca="false">F15/F5</f>
        <v>0.125</v>
      </c>
      <c r="G16" s="16" t="n">
        <f aca="false">G15/G5</f>
        <v>0.12</v>
      </c>
      <c r="H16" s="6" t="s">
        <v>157</v>
      </c>
    </row>
    <row r="17" customFormat="false" ht="15" hidden="false" customHeight="true" outlineLevel="0" collapsed="false">
      <c r="A17" s="5" t="s">
        <v>162</v>
      </c>
      <c r="B17" s="13" t="n">
        <f aca="false">B9-B11-B13-B15</f>
        <v>1414.015</v>
      </c>
      <c r="C17" s="14" t="n">
        <f aca="false">C9-C11-C13-C15</f>
        <v>2054.229714</v>
      </c>
      <c r="D17" s="14" t="n">
        <f aca="false">D9-D11-D13-D15</f>
        <v>2822.75330112</v>
      </c>
      <c r="E17" s="14" t="n">
        <f aca="false">E9-E11-E13-E15</f>
        <v>3632.4581521536</v>
      </c>
      <c r="F17" s="14" t="n">
        <f aca="false">F9-F11-F13-F15</f>
        <v>4508.96558679014</v>
      </c>
      <c r="G17" s="14" t="n">
        <f aca="false">G9-G11-G13-G15</f>
        <v>5441.3751371449</v>
      </c>
      <c r="H17" s="6" t="s">
        <v>157</v>
      </c>
    </row>
    <row r="18" customFormat="false" ht="15" hidden="false" customHeight="true" outlineLevel="0" collapsed="false">
      <c r="A18" s="5" t="s">
        <v>163</v>
      </c>
      <c r="B18" s="15" t="n">
        <f aca="false">B17/B5</f>
        <v>0.315949516539804</v>
      </c>
      <c r="C18" s="16" t="n">
        <f aca="false">C17/C5</f>
        <v>0.34</v>
      </c>
      <c r="D18" s="16" t="n">
        <f aca="false">D17/D5</f>
        <v>0.365</v>
      </c>
      <c r="E18" s="16" t="n">
        <f aca="false">E17/E5</f>
        <v>0.385</v>
      </c>
      <c r="F18" s="16" t="n">
        <f aca="false">F17/F5</f>
        <v>0.405</v>
      </c>
      <c r="G18" s="16" t="n">
        <f aca="false">G17/G5</f>
        <v>0.425</v>
      </c>
      <c r="H18" s="6" t="s">
        <v>157</v>
      </c>
    </row>
    <row r="19" customFormat="false" ht="15" hidden="false" customHeight="true" outlineLevel="0" collapsed="false">
      <c r="A19" s="5" t="s">
        <v>105</v>
      </c>
      <c r="B19" s="13" t="n">
        <f aca="false">'Historical Financials'!D13</f>
        <v>229.181</v>
      </c>
      <c r="C19" s="14" t="n">
        <f aca="false">(B40+B41)*Inputs!B9</f>
        <v>215.31129</v>
      </c>
      <c r="D19" s="14" t="n">
        <f aca="false">(C40+C41)*Inputs!C9</f>
        <v>274.406490367794</v>
      </c>
      <c r="E19" s="14" t="n">
        <f aca="false">(D40+D41)*Inputs!D9</f>
        <v>333.749285038698</v>
      </c>
      <c r="F19" s="14" t="n">
        <f aca="false">(E40+E41)*Inputs!E9</f>
        <v>402.818504055577</v>
      </c>
      <c r="G19" s="14" t="n">
        <f aca="false">(F40+F41)*Inputs!F9</f>
        <v>469.53557445217</v>
      </c>
      <c r="H19" s="6" t="s">
        <v>164</v>
      </c>
    </row>
    <row r="20" customFormat="false" ht="15" hidden="false" customHeight="true" outlineLevel="0" collapsed="false">
      <c r="A20" s="5" t="s">
        <v>106</v>
      </c>
      <c r="B20" s="13" t="n">
        <f aca="false">'Historical Financials'!D14</f>
        <v>14.172</v>
      </c>
      <c r="C20" s="14" t="n">
        <f aca="false">Inputs!B10</f>
        <v>0</v>
      </c>
      <c r="D20" s="14" t="n">
        <f aca="false">Inputs!C10</f>
        <v>0</v>
      </c>
      <c r="E20" s="14" t="n">
        <f aca="false">Inputs!D10</f>
        <v>0</v>
      </c>
      <c r="F20" s="14" t="n">
        <f aca="false">Inputs!E10</f>
        <v>0</v>
      </c>
      <c r="G20" s="14" t="n">
        <f aca="false">Inputs!F10</f>
        <v>0</v>
      </c>
      <c r="H20" s="6" t="s">
        <v>35</v>
      </c>
    </row>
    <row r="21" customFormat="false" ht="15" hidden="false" customHeight="true" outlineLevel="0" collapsed="false">
      <c r="A21" s="5" t="s">
        <v>165</v>
      </c>
      <c r="B21" s="13" t="n">
        <f aca="false">B17+B19+B20</f>
        <v>1657.368</v>
      </c>
      <c r="C21" s="14" t="n">
        <f aca="false">C17+C19+C20</f>
        <v>2269.541004</v>
      </c>
      <c r="D21" s="14" t="n">
        <f aca="false">D17+D19+D20</f>
        <v>3097.15979148779</v>
      </c>
      <c r="E21" s="14" t="n">
        <f aca="false">E17+E19+E20</f>
        <v>3966.2074371923</v>
      </c>
      <c r="F21" s="14" t="n">
        <f aca="false">F17+F19+F20</f>
        <v>4911.78409084572</v>
      </c>
      <c r="G21" s="14" t="n">
        <f aca="false">G17+G19+G20</f>
        <v>5910.91071159707</v>
      </c>
      <c r="H21" s="6" t="s">
        <v>157</v>
      </c>
    </row>
    <row r="22" customFormat="false" ht="15" hidden="false" customHeight="true" outlineLevel="0" collapsed="false">
      <c r="A22" s="5" t="s">
        <v>53</v>
      </c>
      <c r="B22" s="13" t="n">
        <f aca="false">'Historical Financials'!D16</f>
        <v>22.724</v>
      </c>
      <c r="C22" s="14" t="n">
        <f aca="false">C21*Inputs!B11</f>
        <v>68.08623012</v>
      </c>
      <c r="D22" s="14" t="n">
        <f aca="false">D21*Inputs!C11</f>
        <v>154.85798957439</v>
      </c>
      <c r="E22" s="14" t="n">
        <f aca="false">E21*Inputs!D11</f>
        <v>317.296594975384</v>
      </c>
      <c r="F22" s="14" t="n">
        <f aca="false">F21*Inputs!E11</f>
        <v>491.178409084572</v>
      </c>
      <c r="G22" s="14" t="n">
        <f aca="false">G21*Inputs!F11</f>
        <v>709.309285391648</v>
      </c>
      <c r="H22" s="6" t="s">
        <v>166</v>
      </c>
    </row>
    <row r="23" customFormat="false" ht="15" hidden="false" customHeight="true" outlineLevel="0" collapsed="false">
      <c r="A23" s="5" t="s">
        <v>51</v>
      </c>
      <c r="B23" s="15" t="n">
        <f aca="false">B22/B21</f>
        <v>0.0137108958300148</v>
      </c>
      <c r="C23" s="16" t="n">
        <f aca="false">C22/C21</f>
        <v>0.03</v>
      </c>
      <c r="D23" s="16" t="n">
        <f aca="false">D22/D21</f>
        <v>0.05</v>
      </c>
      <c r="E23" s="16" t="n">
        <f aca="false">E22/E21</f>
        <v>0.08</v>
      </c>
      <c r="F23" s="16" t="n">
        <f aca="false">F22/F21</f>
        <v>0.1</v>
      </c>
      <c r="G23" s="16" t="n">
        <f aca="false">G22/G21</f>
        <v>0.12</v>
      </c>
      <c r="H23" s="6" t="s">
        <v>157</v>
      </c>
    </row>
    <row r="24" customFormat="false" ht="15" hidden="false" customHeight="true" outlineLevel="0" collapsed="false">
      <c r="A24" s="5" t="s">
        <v>109</v>
      </c>
      <c r="B24" s="13" t="n">
        <f aca="false">B21-B22</f>
        <v>1634.644</v>
      </c>
      <c r="C24" s="14" t="n">
        <f aca="false">C21-C22</f>
        <v>2201.45477388</v>
      </c>
      <c r="D24" s="14" t="n">
        <f aca="false">D21-D22</f>
        <v>2942.3018019134</v>
      </c>
      <c r="E24" s="14" t="n">
        <f aca="false">E21-E22</f>
        <v>3648.91084221691</v>
      </c>
      <c r="F24" s="14" t="n">
        <f aca="false">F21-F22</f>
        <v>4420.60568176115</v>
      </c>
      <c r="G24" s="14" t="n">
        <f aca="false">G21-G22</f>
        <v>5201.60142620542</v>
      </c>
      <c r="H24" s="6" t="s">
        <v>157</v>
      </c>
    </row>
    <row r="25" customFormat="false" ht="15" hidden="false" customHeight="true" outlineLevel="0" collapsed="false">
      <c r="A25" s="5" t="s">
        <v>110</v>
      </c>
      <c r="B25" s="13" t="n">
        <f aca="false">'Historical Financials'!D18</f>
        <v>9.611</v>
      </c>
      <c r="C25" s="14" t="n">
        <f aca="false">C24*Inputs!B12</f>
        <v>13.20872864328</v>
      </c>
      <c r="D25" s="14" t="n">
        <f aca="false">D24*Inputs!C12</f>
        <v>17.6538108114804</v>
      </c>
      <c r="E25" s="14" t="n">
        <f aca="false">E24*Inputs!D12</f>
        <v>21.8934650533015</v>
      </c>
      <c r="F25" s="14" t="n">
        <f aca="false">F24*Inputs!E12</f>
        <v>26.5236340905669</v>
      </c>
      <c r="G25" s="14" t="n">
        <f aca="false">G24*Inputs!F12</f>
        <v>31.2096085572325</v>
      </c>
      <c r="H25" s="6" t="s">
        <v>167</v>
      </c>
    </row>
    <row r="26" customFormat="false" ht="15" hidden="false" customHeight="true" outlineLevel="0" collapsed="false">
      <c r="A26" s="5" t="s">
        <v>111</v>
      </c>
      <c r="B26" s="13" t="n">
        <f aca="false">B24-B25</f>
        <v>1625.033</v>
      </c>
      <c r="C26" s="14" t="n">
        <f aca="false">C24-C25</f>
        <v>2188.24604523672</v>
      </c>
      <c r="D26" s="14" t="n">
        <f aca="false">D24-D25</f>
        <v>2924.64799110192</v>
      </c>
      <c r="E26" s="14" t="n">
        <f aca="false">E24-E25</f>
        <v>3627.01737716361</v>
      </c>
      <c r="F26" s="14" t="n">
        <f aca="false">F24-F25</f>
        <v>4394.08204767058</v>
      </c>
      <c r="G26" s="14" t="n">
        <f aca="false">G24-G25</f>
        <v>5170.39181764819</v>
      </c>
      <c r="H26" s="6" t="s">
        <v>157</v>
      </c>
    </row>
    <row r="27" customFormat="false" ht="15" hidden="false" customHeight="true" outlineLevel="0" collapsed="false">
      <c r="A27" s="5" t="s">
        <v>112</v>
      </c>
      <c r="B27" s="13" t="n">
        <f aca="false">'Historical Financials'!D20</f>
        <v>2565.197</v>
      </c>
      <c r="C27" s="14" t="n">
        <f aca="false">B27*(1+Inputs!B13)</f>
        <v>2629.326925</v>
      </c>
      <c r="D27" s="14" t="n">
        <f aca="false">C27*(1+Inputs!C13)</f>
        <v>2681.9134635</v>
      </c>
      <c r="E27" s="14" t="n">
        <f aca="false">D27*(1+Inputs!D13)</f>
        <v>2730.187905843</v>
      </c>
      <c r="F27" s="14" t="n">
        <f aca="false">E27*(1+Inputs!E13)</f>
        <v>2771.14072443064</v>
      </c>
      <c r="G27" s="14" t="n">
        <f aca="false">F27*(1+Inputs!F13)</f>
        <v>2804.39441312381</v>
      </c>
      <c r="H27" s="6" t="s">
        <v>168</v>
      </c>
    </row>
    <row r="28" customFormat="false" ht="15" hidden="false" customHeight="true" outlineLevel="0" collapsed="false">
      <c r="A28" s="5" t="s">
        <v>169</v>
      </c>
      <c r="B28" s="13" t="n">
        <f aca="false">B26/B27</f>
        <v>0.633492476406296</v>
      </c>
      <c r="C28" s="14" t="n">
        <f aca="false">C26/C27</f>
        <v>0.832245706850136</v>
      </c>
      <c r="D28" s="14" t="n">
        <f aca="false">D26/D27</f>
        <v>1.09050796414779</v>
      </c>
      <c r="E28" s="14" t="n">
        <f aca="false">E26/E27</f>
        <v>1.32848635414481</v>
      </c>
      <c r="F28" s="14" t="n">
        <f aca="false">F26/F27</f>
        <v>1.5856582124942</v>
      </c>
      <c r="G28" s="14" t="n">
        <f aca="false">G26/G27</f>
        <v>1.84367498146913</v>
      </c>
      <c r="H28" s="6" t="s">
        <v>157</v>
      </c>
    </row>
    <row r="29" customFormat="false" ht="15" hidden="false" customHeight="true" outlineLevel="0" collapsed="false">
      <c r="B29" s="17"/>
      <c r="C29" s="18"/>
      <c r="D29" s="18"/>
      <c r="E29" s="18"/>
      <c r="F29" s="18"/>
      <c r="G29" s="18"/>
    </row>
    <row r="30" customFormat="false" ht="18" hidden="false" customHeight="true" outlineLevel="0" collapsed="false">
      <c r="A30" s="4" t="s">
        <v>170</v>
      </c>
      <c r="B30" s="4"/>
      <c r="C30" s="4"/>
      <c r="D30" s="4"/>
      <c r="E30" s="4"/>
      <c r="F30" s="4"/>
      <c r="G30" s="4"/>
      <c r="H30" s="4"/>
      <c r="I30" s="4"/>
    </row>
    <row r="31" customFormat="false" ht="15" hidden="false" customHeight="true" outlineLevel="0" collapsed="false">
      <c r="A31" s="5" t="s">
        <v>143</v>
      </c>
      <c r="B31" s="13" t="n">
        <f aca="false">'Historical Financials'!D52</f>
        <v>26.145</v>
      </c>
      <c r="C31" s="14" t="n">
        <f aca="false">C5*Inputs!B15</f>
        <v>36.2511126</v>
      </c>
      <c r="D31" s="14" t="n">
        <f aca="false">D5*Inputs!C15</f>
        <v>46.401424128</v>
      </c>
      <c r="E31" s="14" t="n">
        <f aca="false">E5*Inputs!D15</f>
        <v>56.60973743616</v>
      </c>
      <c r="F31" s="14" t="n">
        <f aca="false">F5*Inputs!E15</f>
        <v>66.7994901746688</v>
      </c>
      <c r="G31" s="14" t="n">
        <f aca="false">G5*Inputs!F15</f>
        <v>76.8194137008691</v>
      </c>
      <c r="H31" s="6" t="s">
        <v>63</v>
      </c>
    </row>
    <row r="32" customFormat="false" ht="15" hidden="false" customHeight="true" outlineLevel="0" collapsed="false">
      <c r="A32" s="5" t="s">
        <v>144</v>
      </c>
      <c r="B32" s="13" t="n">
        <f aca="false">'Historical Financials'!D53</f>
        <v>684.033</v>
      </c>
      <c r="C32" s="14" t="n">
        <f aca="false">C5*Inputs!B16</f>
        <v>815.6500335</v>
      </c>
      <c r="D32" s="14" t="n">
        <f aca="false">D5*Inputs!C16</f>
        <v>889.36062912</v>
      </c>
      <c r="E32" s="14" t="n">
        <f aca="false">E5*Inputs!D16</f>
        <v>896.3208427392</v>
      </c>
      <c r="F32" s="14" t="n">
        <f aca="false">F5*Inputs!E16</f>
        <v>890.659868995584</v>
      </c>
      <c r="G32" s="14" t="n">
        <f aca="false">G5*Inputs!F16</f>
        <v>832.210315092749</v>
      </c>
      <c r="H32" s="6" t="s">
        <v>66</v>
      </c>
    </row>
    <row r="33" customFormat="false" ht="15" hidden="false" customHeight="true" outlineLevel="0" collapsed="false">
      <c r="A33" s="5" t="s">
        <v>171</v>
      </c>
      <c r="B33" s="13" t="n">
        <f aca="false">0</f>
        <v>0</v>
      </c>
      <c r="C33" s="14" t="n">
        <f aca="false">C52-B52-(C42-B42)</f>
        <v>-199.928703924658</v>
      </c>
      <c r="D33" s="14" t="n">
        <f aca="false">D52-C52-(D42-C42)</f>
        <v>-208.352855843014</v>
      </c>
      <c r="E33" s="14" t="n">
        <f aca="false">E52-D52-(E42-D42)</f>
        <v>-224.58077399303</v>
      </c>
      <c r="F33" s="14" t="n">
        <f aca="false">F52-E52-(F42-E42)</f>
        <v>-222.535721273014</v>
      </c>
      <c r="G33" s="14" t="n">
        <f aca="false">G52-F52-(G42-F42)</f>
        <v>-182.05911277628</v>
      </c>
      <c r="H33" s="6" t="s">
        <v>172</v>
      </c>
    </row>
    <row r="34" customFormat="false" ht="15" hidden="false" customHeight="true" outlineLevel="0" collapsed="false">
      <c r="A34" s="5" t="s">
        <v>147</v>
      </c>
      <c r="B34" s="13" t="n">
        <f aca="false">'Historical Financials'!D56</f>
        <v>2134.473</v>
      </c>
      <c r="C34" s="14" t="n">
        <f aca="false">C24+C31+C32+C33</f>
        <v>2853.42721605534</v>
      </c>
      <c r="D34" s="14" t="n">
        <f aca="false">D24+D31+D32+D33</f>
        <v>3669.71099931839</v>
      </c>
      <c r="E34" s="14" t="n">
        <f aca="false">E24+E31+E32+E33</f>
        <v>4377.26064839924</v>
      </c>
      <c r="F34" s="14" t="n">
        <f aca="false">F24+F31+F32+F33</f>
        <v>5155.52931965839</v>
      </c>
      <c r="G34" s="14" t="n">
        <f aca="false">G24+G31+G32+G33</f>
        <v>5928.57204222276</v>
      </c>
      <c r="H34" s="6" t="s">
        <v>157</v>
      </c>
    </row>
    <row r="35" customFormat="false" ht="15" hidden="false" customHeight="true" outlineLevel="0" collapsed="false">
      <c r="A35" s="5" t="s">
        <v>173</v>
      </c>
      <c r="B35" s="13" t="n">
        <f aca="false">'Historical Financials'!D57</f>
        <v>-33.882</v>
      </c>
      <c r="C35" s="14" t="n">
        <f aca="false">-C5*Inputs!B14</f>
        <v>-48.3348168</v>
      </c>
      <c r="D35" s="14" t="n">
        <f aca="false">-D5*Inputs!C14</f>
        <v>-61.868565504</v>
      </c>
      <c r="E35" s="14" t="n">
        <f aca="false">-E5*Inputs!D14</f>
        <v>-75.47964991488</v>
      </c>
      <c r="F35" s="14" t="n">
        <f aca="false">-F5*Inputs!E14</f>
        <v>-89.0659868995584</v>
      </c>
      <c r="G35" s="14" t="n">
        <f aca="false">-G5*Inputs!F14</f>
        <v>-102.425884934492</v>
      </c>
      <c r="H35" s="6" t="s">
        <v>60</v>
      </c>
    </row>
    <row r="36" customFormat="false" ht="15" hidden="false" customHeight="true" outlineLevel="0" collapsed="false">
      <c r="A36" s="5" t="s">
        <v>174</v>
      </c>
      <c r="B36" s="13" t="n">
        <f aca="false">B34+B35</f>
        <v>2100.591</v>
      </c>
      <c r="C36" s="14" t="n">
        <f aca="false">C34+C35</f>
        <v>2805.09239925534</v>
      </c>
      <c r="D36" s="14" t="n">
        <f aca="false">D34+D35</f>
        <v>3607.84243381439</v>
      </c>
      <c r="E36" s="14" t="n">
        <f aca="false">E34+E35</f>
        <v>4301.78099848436</v>
      </c>
      <c r="F36" s="14" t="n">
        <f aca="false">F34+F35</f>
        <v>5066.46333275883</v>
      </c>
      <c r="G36" s="14" t="n">
        <f aca="false">G34+G35</f>
        <v>5826.14615728826</v>
      </c>
      <c r="H36" s="6" t="s">
        <v>175</v>
      </c>
    </row>
    <row r="37" customFormat="false" ht="15" hidden="false" customHeight="true" outlineLevel="0" collapsed="false">
      <c r="A37" s="5" t="s">
        <v>176</v>
      </c>
      <c r="B37" s="13" t="n">
        <f aca="false">B36-B32</f>
        <v>1416.558</v>
      </c>
      <c r="C37" s="14" t="n">
        <f aca="false">C36-C32</f>
        <v>1989.44236575534</v>
      </c>
      <c r="D37" s="14" t="n">
        <f aca="false">D36-D32</f>
        <v>2718.48180469439</v>
      </c>
      <c r="E37" s="14" t="n">
        <f aca="false">E36-E32</f>
        <v>3405.46015574516</v>
      </c>
      <c r="F37" s="14" t="n">
        <f aca="false">F36-F32</f>
        <v>4175.80346376324</v>
      </c>
      <c r="G37" s="14" t="n">
        <f aca="false">G36-G32</f>
        <v>4993.93584219551</v>
      </c>
      <c r="H37" s="6" t="s">
        <v>177</v>
      </c>
    </row>
    <row r="38" customFormat="false" ht="15" hidden="false" customHeight="true" outlineLevel="0" collapsed="false">
      <c r="B38" s="17"/>
      <c r="C38" s="18"/>
      <c r="D38" s="18"/>
      <c r="E38" s="18"/>
      <c r="F38" s="18"/>
      <c r="G38" s="18"/>
    </row>
    <row r="39" customFormat="false" ht="18" hidden="false" customHeight="true" outlineLevel="0" collapsed="false">
      <c r="A39" s="4" t="s">
        <v>113</v>
      </c>
      <c r="B39" s="4"/>
      <c r="C39" s="4"/>
      <c r="D39" s="4"/>
      <c r="E39" s="4"/>
      <c r="F39" s="4"/>
      <c r="G39" s="4"/>
      <c r="H39" s="4"/>
      <c r="I39" s="4"/>
    </row>
    <row r="40" customFormat="false" ht="45" hidden="false" customHeight="true" outlineLevel="0" collapsed="false">
      <c r="A40" s="5" t="s">
        <v>114</v>
      </c>
      <c r="B40" s="13" t="n">
        <f aca="false">'Historical Financials'!D22</f>
        <v>1423.796</v>
      </c>
      <c r="C40" s="19" t="n">
        <f aca="false">C69-(C41+C42+C43+C45+C46+C47)</f>
        <v>1604.8639477</v>
      </c>
      <c r="D40" s="19" t="n">
        <f aca="false">D69-(D41+D42+D43+D45+D46+D47)</f>
        <v>1740.038376876</v>
      </c>
      <c r="E40" s="19" t="n">
        <f aca="false">E69-(E41+E42+E43+E45+E46+E47)</f>
        <v>1841.96917097212</v>
      </c>
      <c r="F40" s="19" t="n">
        <f aca="false">F69-(F41+F42+F43+F45+F46+F47)</f>
        <v>1942.35255829556</v>
      </c>
      <c r="G40" s="19" t="n">
        <f aca="false">G69-(G41+G42+G43+G45+G46+G47)</f>
        <v>2002.60315141095</v>
      </c>
      <c r="H40" s="6" t="s">
        <v>178</v>
      </c>
      <c r="I40" s="6" t="s">
        <v>179</v>
      </c>
    </row>
    <row r="41" customFormat="false" ht="15" hidden="false" customHeight="true" outlineLevel="0" collapsed="false">
      <c r="A41" s="5" t="s">
        <v>115</v>
      </c>
      <c r="B41" s="13" t="n">
        <f aca="false">'Historical Financials'!D23</f>
        <v>5753.247</v>
      </c>
      <c r="C41" s="14" t="n">
        <f aca="false">B41+C36</f>
        <v>8558.33939925534</v>
      </c>
      <c r="D41" s="14" t="n">
        <f aca="false">C41+D36</f>
        <v>12166.1818330697</v>
      </c>
      <c r="E41" s="14" t="n">
        <f aca="false">D41+E36</f>
        <v>16467.9628315541</v>
      </c>
      <c r="F41" s="14" t="n">
        <f aca="false">E41+F36</f>
        <v>21534.4261643129</v>
      </c>
      <c r="G41" s="14" t="n">
        <f aca="false">F41+G36</f>
        <v>27360.5723216012</v>
      </c>
      <c r="H41" s="6" t="s">
        <v>180</v>
      </c>
    </row>
    <row r="42" customFormat="false" ht="15" hidden="false" customHeight="true" outlineLevel="0" collapsed="false">
      <c r="A42" s="5" t="s">
        <v>116</v>
      </c>
      <c r="B42" s="13" t="n">
        <f aca="false">'Historical Financials'!D24</f>
        <v>1042.065</v>
      </c>
      <c r="C42" s="14" t="n">
        <f aca="false">C5*Inputs!B17/365</f>
        <v>1407.00665342466</v>
      </c>
      <c r="D42" s="14" t="n">
        <f aca="false">D5*Inputs!C17/365</f>
        <v>1737.40492168767</v>
      </c>
      <c r="E42" s="14" t="n">
        <f aca="false">E5*Inputs!D17/365</f>
        <v>2067.9356141063</v>
      </c>
      <c r="F42" s="14" t="n">
        <f aca="false">F5*Inputs!E17/365</f>
        <v>2379.1599240293</v>
      </c>
      <c r="G42" s="14" t="n">
        <f aca="false">G5*Inputs!F17/365</f>
        <v>2630.80183907086</v>
      </c>
      <c r="H42" s="6" t="s">
        <v>69</v>
      </c>
    </row>
    <row r="43" customFormat="false" ht="15" hidden="false" customHeight="true" outlineLevel="0" collapsed="false">
      <c r="A43" s="5" t="s">
        <v>117</v>
      </c>
      <c r="B43" s="13" t="n">
        <f aca="false">'Historical Financials'!D25</f>
        <v>139.066</v>
      </c>
      <c r="C43" s="14" t="n">
        <f aca="false">C5*Inputs!B18</f>
        <v>181.255563</v>
      </c>
      <c r="D43" s="14" t="n">
        <f aca="false">D5*Inputs!C18</f>
        <v>232.00712064</v>
      </c>
      <c r="E43" s="14" t="n">
        <f aca="false">E5*Inputs!D18</f>
        <v>283.0486871808</v>
      </c>
      <c r="F43" s="14" t="n">
        <f aca="false">F5*Inputs!E18</f>
        <v>333.997450873344</v>
      </c>
      <c r="G43" s="14" t="n">
        <f aca="false">G5*Inputs!F18</f>
        <v>384.097068504346</v>
      </c>
      <c r="H43" s="6" t="s">
        <v>72</v>
      </c>
    </row>
    <row r="44" customFormat="false" ht="15" hidden="false" customHeight="true" outlineLevel="0" collapsed="false">
      <c r="A44" s="5" t="s">
        <v>118</v>
      </c>
      <c r="B44" s="13" t="n">
        <f aca="false">SUM(B40:B43)</f>
        <v>8358.174</v>
      </c>
      <c r="C44" s="14" t="n">
        <f aca="false">SUM(C40:C43)</f>
        <v>11751.46556338</v>
      </c>
      <c r="D44" s="14" t="n">
        <f aca="false">SUM(D40:D43)</f>
        <v>15875.6322522734</v>
      </c>
      <c r="E44" s="14" t="n">
        <f aca="false">SUM(E40:E43)</f>
        <v>20660.9163038133</v>
      </c>
      <c r="F44" s="14" t="n">
        <f aca="false">SUM(F40:F43)</f>
        <v>26189.9360975111</v>
      </c>
      <c r="G44" s="14" t="n">
        <f aca="false">SUM(G40:G43)</f>
        <v>32378.0743805873</v>
      </c>
      <c r="H44" s="6" t="s">
        <v>157</v>
      </c>
    </row>
    <row r="45" customFormat="false" ht="15" hidden="false" customHeight="true" outlineLevel="0" collapsed="false">
      <c r="A45" s="5" t="s">
        <v>119</v>
      </c>
      <c r="B45" s="13" t="n">
        <f aca="false">'Historical Financials'!D27</f>
        <v>51.96</v>
      </c>
      <c r="C45" s="14" t="n">
        <f aca="false">B45-C35-C31</f>
        <v>64.0437042</v>
      </c>
      <c r="D45" s="14" t="n">
        <f aca="false">C45-D35-D31</f>
        <v>79.510845576</v>
      </c>
      <c r="E45" s="14" t="n">
        <f aca="false">D45-E35-E31</f>
        <v>98.38075805472</v>
      </c>
      <c r="F45" s="14" t="n">
        <f aca="false">E45-F35-F31</f>
        <v>120.64725477961</v>
      </c>
      <c r="G45" s="14" t="n">
        <f aca="false">F45-G35-G31</f>
        <v>146.253726013233</v>
      </c>
      <c r="H45" s="6" t="s">
        <v>181</v>
      </c>
    </row>
    <row r="46" customFormat="false" ht="15" hidden="false" customHeight="true" outlineLevel="0" collapsed="false">
      <c r="A46" s="5" t="s">
        <v>120</v>
      </c>
      <c r="B46" s="13" t="n">
        <f aca="false">'Historical Financials'!D28</f>
        <v>200.105</v>
      </c>
      <c r="C46" s="14" t="n">
        <f aca="false">B46*0.98</f>
        <v>196.1029</v>
      </c>
      <c r="D46" s="14" t="n">
        <f aca="false">C46*0.98</f>
        <v>192.180842</v>
      </c>
      <c r="E46" s="14" t="n">
        <f aca="false">D46*0.98</f>
        <v>188.33722516</v>
      </c>
      <c r="F46" s="14" t="n">
        <f aca="false">E46*0.98</f>
        <v>184.5704806568</v>
      </c>
      <c r="G46" s="14" t="n">
        <f aca="false">F46*0.98</f>
        <v>180.879071043664</v>
      </c>
      <c r="H46" s="6" t="s">
        <v>35</v>
      </c>
    </row>
    <row r="47" customFormat="false" ht="15" hidden="false" customHeight="true" outlineLevel="0" collapsed="false">
      <c r="A47" s="5" t="s">
        <v>121</v>
      </c>
      <c r="B47" s="13" t="n">
        <f aca="false">'Historical Financials'!D29</f>
        <v>290.153</v>
      </c>
      <c r="C47" s="14" t="n">
        <f aca="false">B47*1.05</f>
        <v>304.66065</v>
      </c>
      <c r="D47" s="14" t="n">
        <f aca="false">C47*1.05</f>
        <v>319.8936825</v>
      </c>
      <c r="E47" s="14" t="n">
        <f aca="false">D47*1.05</f>
        <v>335.888366625</v>
      </c>
      <c r="F47" s="14" t="n">
        <f aca="false">E47*1.05</f>
        <v>352.68278495625</v>
      </c>
      <c r="G47" s="14" t="n">
        <f aca="false">F47*1.05</f>
        <v>370.316924204063</v>
      </c>
      <c r="H47" s="6" t="s">
        <v>35</v>
      </c>
    </row>
    <row r="48" customFormat="false" ht="15" hidden="false" customHeight="true" outlineLevel="0" collapsed="false">
      <c r="A48" s="5" t="s">
        <v>122</v>
      </c>
      <c r="B48" s="13" t="n">
        <f aca="false">B44+B45+B46+B47</f>
        <v>8900.392</v>
      </c>
      <c r="C48" s="14" t="n">
        <f aca="false">C44+C45+C46+C47</f>
        <v>12316.27281758</v>
      </c>
      <c r="D48" s="14" t="n">
        <f aca="false">D44+D45+D46+D47</f>
        <v>16467.2176223494</v>
      </c>
      <c r="E48" s="14" t="n">
        <f aca="false">E44+E45+E46+E47</f>
        <v>21283.522653653</v>
      </c>
      <c r="F48" s="14" t="n">
        <f aca="false">F44+F45+F46+F47</f>
        <v>26847.8366179038</v>
      </c>
      <c r="G48" s="14" t="n">
        <f aca="false">G44+G45+G46+G47</f>
        <v>33075.5241018483</v>
      </c>
      <c r="H48" s="6" t="s">
        <v>157</v>
      </c>
    </row>
    <row r="49" customFormat="false" ht="15" hidden="false" customHeight="true" outlineLevel="0" collapsed="false">
      <c r="B49" s="17"/>
      <c r="C49" s="18"/>
      <c r="D49" s="18"/>
      <c r="E49" s="18"/>
      <c r="F49" s="18"/>
      <c r="G49" s="18"/>
    </row>
    <row r="50" customFormat="false" ht="15" hidden="false" customHeight="true" outlineLevel="0" collapsed="false">
      <c r="A50" s="5" t="s">
        <v>123</v>
      </c>
      <c r="B50" s="13" t="n">
        <f aca="false">'Historical Financials'!D31</f>
        <v>8.064</v>
      </c>
      <c r="C50" s="14" t="n">
        <f aca="false">C5*0.002</f>
        <v>12.0837042</v>
      </c>
      <c r="D50" s="14" t="n">
        <f aca="false">D5*0.002</f>
        <v>15.467141376</v>
      </c>
      <c r="E50" s="14" t="n">
        <f aca="false">E5*0.002</f>
        <v>18.86991247872</v>
      </c>
      <c r="F50" s="14" t="n">
        <f aca="false">F5*0.002</f>
        <v>22.2664967248896</v>
      </c>
      <c r="G50" s="14" t="n">
        <f aca="false">G5*0.002</f>
        <v>25.606471233623</v>
      </c>
      <c r="H50" s="6" t="s">
        <v>35</v>
      </c>
    </row>
    <row r="51" customFormat="false" ht="15" hidden="false" customHeight="true" outlineLevel="0" collapsed="false">
      <c r="A51" s="5" t="s">
        <v>124</v>
      </c>
      <c r="B51" s="13" t="n">
        <f aca="false">'Historical Financials'!D32</f>
        <v>355.624</v>
      </c>
      <c r="C51" s="14" t="n">
        <f aca="false">C5*0.08</f>
        <v>483.348168</v>
      </c>
      <c r="D51" s="14" t="n">
        <f aca="false">D5*0.075</f>
        <v>580.0178016</v>
      </c>
      <c r="E51" s="14" t="n">
        <f aca="false">E5*0.07</f>
        <v>660.4469367552</v>
      </c>
      <c r="F51" s="14" t="n">
        <f aca="false">F5*0.068</f>
        <v>757.060888646246</v>
      </c>
      <c r="G51" s="14" t="n">
        <f aca="false">G5*0.065</f>
        <v>832.210315092749</v>
      </c>
      <c r="H51" s="6" t="s">
        <v>35</v>
      </c>
    </row>
    <row r="52" customFormat="false" ht="15" hidden="false" customHeight="true" outlineLevel="0" collapsed="false">
      <c r="A52" s="5" t="s">
        <v>125</v>
      </c>
      <c r="B52" s="13" t="n">
        <f aca="false">'Historical Financials'!D33</f>
        <v>408.963</v>
      </c>
      <c r="C52" s="14" t="n">
        <f aca="false">C5*Inputs!B19</f>
        <v>573.9759495</v>
      </c>
      <c r="D52" s="14" t="n">
        <f aca="false">D5*Inputs!C19</f>
        <v>696.02136192</v>
      </c>
      <c r="E52" s="14" t="n">
        <f aca="false">E5*Inputs!D19</f>
        <v>801.9712803456</v>
      </c>
      <c r="F52" s="14" t="n">
        <f aca="false">F5*Inputs!E19</f>
        <v>890.659868995584</v>
      </c>
      <c r="G52" s="14" t="n">
        <f aca="false">G5*Inputs!F19</f>
        <v>960.242671260864</v>
      </c>
      <c r="H52" s="6" t="s">
        <v>74</v>
      </c>
    </row>
    <row r="53" customFormat="false" ht="15" hidden="false" customHeight="true" outlineLevel="0" collapsed="false">
      <c r="A53" s="5" t="s">
        <v>126</v>
      </c>
      <c r="B53" s="13" t="n">
        <f aca="false">'Historical Financials'!D34</f>
        <v>357.066</v>
      </c>
      <c r="C53" s="14" t="n">
        <f aca="false">C5*Inputs!B20</f>
        <v>453.1389075</v>
      </c>
      <c r="D53" s="14" t="n">
        <f aca="false">D5*Inputs!C20</f>
        <v>541.34994816</v>
      </c>
      <c r="E53" s="14" t="n">
        <f aca="false">E5*Inputs!D20</f>
        <v>613.2721555584</v>
      </c>
      <c r="F53" s="14" t="n">
        <f aca="false">F5*Inputs!E20</f>
        <v>667.994901746688</v>
      </c>
      <c r="G53" s="14" t="n">
        <f aca="false">G5*Inputs!F20</f>
        <v>704.177958924634</v>
      </c>
      <c r="H53" s="6" t="s">
        <v>75</v>
      </c>
    </row>
    <row r="54" customFormat="false" ht="15" hidden="false" customHeight="true" outlineLevel="0" collapsed="false">
      <c r="A54" s="5" t="s">
        <v>127</v>
      </c>
      <c r="B54" s="13" t="n">
        <f aca="false">'Historical Financials'!D35</f>
        <v>45.864</v>
      </c>
      <c r="C54" s="14" t="n">
        <f aca="false">B54*0.98</f>
        <v>44.94672</v>
      </c>
      <c r="D54" s="14" t="n">
        <f aca="false">C54*0.98</f>
        <v>44.0477856</v>
      </c>
      <c r="E54" s="14" t="n">
        <f aca="false">D54*0.98</f>
        <v>43.166829888</v>
      </c>
      <c r="F54" s="14" t="n">
        <f aca="false">E54*0.98</f>
        <v>42.30349329024</v>
      </c>
      <c r="G54" s="14" t="n">
        <f aca="false">F54*0.98</f>
        <v>41.4574234244352</v>
      </c>
      <c r="H54" s="6" t="s">
        <v>35</v>
      </c>
    </row>
    <row r="55" customFormat="false" ht="15" hidden="false" customHeight="true" outlineLevel="0" collapsed="false">
      <c r="A55" s="5" t="s">
        <v>128</v>
      </c>
      <c r="B55" s="13" t="n">
        <f aca="false">SUM(B50:B54)</f>
        <v>1175.581</v>
      </c>
      <c r="C55" s="14" t="n">
        <f aca="false">SUM(C50:C54)</f>
        <v>1567.4934492</v>
      </c>
      <c r="D55" s="14" t="n">
        <f aca="false">SUM(D50:D54)</f>
        <v>1876.904038656</v>
      </c>
      <c r="E55" s="14" t="n">
        <f aca="false">SUM(E50:E54)</f>
        <v>2137.72711502592</v>
      </c>
      <c r="F55" s="14" t="n">
        <f aca="false">SUM(F50:F54)</f>
        <v>2380.28564940365</v>
      </c>
      <c r="G55" s="14" t="n">
        <f aca="false">SUM(G50:G54)</f>
        <v>2563.6948399363</v>
      </c>
      <c r="H55" s="6" t="s">
        <v>157</v>
      </c>
    </row>
    <row r="56" customFormat="false" ht="15" hidden="false" customHeight="true" outlineLevel="0" collapsed="false">
      <c r="A56" s="5" t="s">
        <v>129</v>
      </c>
      <c r="B56" s="13" t="n">
        <f aca="false">'Historical Financials'!D37</f>
        <v>46.216</v>
      </c>
      <c r="C56" s="14" t="n">
        <f aca="false">C5*0.01</f>
        <v>60.418521</v>
      </c>
      <c r="D56" s="14" t="n">
        <f aca="false">D5*0.01</f>
        <v>77.33570688</v>
      </c>
      <c r="E56" s="14" t="n">
        <f aca="false">E5*0.01</f>
        <v>94.3495623936</v>
      </c>
      <c r="F56" s="14" t="n">
        <f aca="false">F5*0.01</f>
        <v>111.332483624448</v>
      </c>
      <c r="G56" s="14" t="n">
        <f aca="false">G5*0.01</f>
        <v>128.032356168115</v>
      </c>
      <c r="H56" s="6" t="s">
        <v>35</v>
      </c>
    </row>
    <row r="57" customFormat="false" ht="15" hidden="false" customHeight="true" outlineLevel="0" collapsed="false">
      <c r="A57" s="5" t="s">
        <v>130</v>
      </c>
      <c r="B57" s="13" t="n">
        <f aca="false">'Historical Financials'!D38</f>
        <v>0.018</v>
      </c>
      <c r="C57" s="14" t="n">
        <f aca="false">B57</f>
        <v>0.018</v>
      </c>
      <c r="D57" s="14" t="n">
        <f aca="false">C57</f>
        <v>0.018</v>
      </c>
      <c r="E57" s="14" t="n">
        <f aca="false">D57</f>
        <v>0.018</v>
      </c>
      <c r="F57" s="14" t="n">
        <f aca="false">E57</f>
        <v>0.018</v>
      </c>
      <c r="G57" s="14" t="n">
        <f aca="false">F57</f>
        <v>0.018</v>
      </c>
      <c r="H57" s="6" t="s">
        <v>35</v>
      </c>
    </row>
    <row r="58" customFormat="false" ht="15" hidden="false" customHeight="true" outlineLevel="0" collapsed="false">
      <c r="A58" s="5" t="s">
        <v>131</v>
      </c>
      <c r="B58" s="13" t="n">
        <f aca="false">'Historical Financials'!D39</f>
        <v>183.474</v>
      </c>
      <c r="C58" s="14" t="n">
        <f aca="false">B58*0.96</f>
        <v>176.13504</v>
      </c>
      <c r="D58" s="14" t="n">
        <f aca="false">C58*0.96</f>
        <v>169.0896384</v>
      </c>
      <c r="E58" s="14" t="n">
        <f aca="false">D58*0.96</f>
        <v>162.326052864</v>
      </c>
      <c r="F58" s="14" t="n">
        <f aca="false">E58*0.96</f>
        <v>155.83301074944</v>
      </c>
      <c r="G58" s="14" t="n">
        <f aca="false">F58*0.96</f>
        <v>149.599690319462</v>
      </c>
      <c r="H58" s="6" t="s">
        <v>35</v>
      </c>
    </row>
    <row r="59" customFormat="false" ht="15" hidden="false" customHeight="true" outlineLevel="0" collapsed="false">
      <c r="A59" s="5" t="s">
        <v>132</v>
      </c>
      <c r="B59" s="13" t="n">
        <f aca="false">'Historical Financials'!D40</f>
        <v>7.092</v>
      </c>
      <c r="C59" s="14" t="n">
        <f aca="false">B59</f>
        <v>7.092</v>
      </c>
      <c r="D59" s="14" t="n">
        <f aca="false">C59</f>
        <v>7.092</v>
      </c>
      <c r="E59" s="14" t="n">
        <f aca="false">D59</f>
        <v>7.092</v>
      </c>
      <c r="F59" s="14" t="n">
        <f aca="false">E59</f>
        <v>7.092</v>
      </c>
      <c r="G59" s="14" t="n">
        <f aca="false">F59</f>
        <v>7.092</v>
      </c>
      <c r="H59" s="6" t="s">
        <v>35</v>
      </c>
    </row>
    <row r="60" customFormat="false" ht="15" hidden="false" customHeight="true" outlineLevel="0" collapsed="false">
      <c r="A60" s="5" t="s">
        <v>133</v>
      </c>
      <c r="B60" s="13" t="n">
        <f aca="false">B55+SUM(B56:B59)</f>
        <v>1412.381</v>
      </c>
      <c r="C60" s="14" t="n">
        <f aca="false">C55+SUM(C56:C59)</f>
        <v>1811.1570102</v>
      </c>
      <c r="D60" s="14" t="n">
        <f aca="false">D55+SUM(D56:D59)</f>
        <v>2130.439383936</v>
      </c>
      <c r="E60" s="14" t="n">
        <f aca="false">E55+SUM(E56:E59)</f>
        <v>2401.51273028352</v>
      </c>
      <c r="F60" s="14" t="n">
        <f aca="false">F55+SUM(F56:F59)</f>
        <v>2654.56114377754</v>
      </c>
      <c r="G60" s="14" t="n">
        <f aca="false">G55+SUM(G56:G59)</f>
        <v>2848.43688642388</v>
      </c>
      <c r="H60" s="6" t="s">
        <v>157</v>
      </c>
    </row>
    <row r="61" customFormat="false" ht="15" hidden="false" customHeight="true" outlineLevel="0" collapsed="false">
      <c r="B61" s="17"/>
      <c r="C61" s="18"/>
      <c r="D61" s="18"/>
      <c r="E61" s="18"/>
      <c r="F61" s="18"/>
      <c r="G61" s="18"/>
    </row>
    <row r="62" customFormat="false" ht="15" hidden="false" customHeight="true" outlineLevel="0" collapsed="false">
      <c r="A62" s="5" t="s">
        <v>134</v>
      </c>
      <c r="B62" s="13" t="n">
        <f aca="false">'Historical Financials'!D42</f>
        <v>2.391</v>
      </c>
      <c r="C62" s="14" t="n">
        <f aca="false">B62</f>
        <v>2.391</v>
      </c>
      <c r="D62" s="14" t="n">
        <f aca="false">C62</f>
        <v>2.391</v>
      </c>
      <c r="E62" s="14" t="n">
        <f aca="false">D62</f>
        <v>2.391</v>
      </c>
      <c r="F62" s="14" t="n">
        <f aca="false">E62</f>
        <v>2.391</v>
      </c>
      <c r="G62" s="14" t="n">
        <f aca="false">F62</f>
        <v>2.391</v>
      </c>
      <c r="H62" s="6" t="s">
        <v>35</v>
      </c>
    </row>
    <row r="63" customFormat="false" ht="15" hidden="false" customHeight="true" outlineLevel="0" collapsed="false">
      <c r="A63" s="5" t="s">
        <v>135</v>
      </c>
      <c r="B63" s="13" t="n">
        <f aca="false">'Historical Financials'!D43</f>
        <v>10933.325</v>
      </c>
      <c r="C63" s="14" t="n">
        <f aca="false">B63+C32</f>
        <v>11748.9750335</v>
      </c>
      <c r="D63" s="14" t="n">
        <f aca="false">C63+D32</f>
        <v>12638.33566262</v>
      </c>
      <c r="E63" s="14" t="n">
        <f aca="false">D63+E32</f>
        <v>13534.6565053592</v>
      </c>
      <c r="F63" s="14" t="n">
        <f aca="false">E63+F32</f>
        <v>14425.3163743548</v>
      </c>
      <c r="G63" s="14" t="n">
        <f aca="false">F63+G32</f>
        <v>15257.5266894475</v>
      </c>
      <c r="H63" s="6" t="s">
        <v>182</v>
      </c>
    </row>
    <row r="64" customFormat="false" ht="15" hidden="false" customHeight="true" outlineLevel="0" collapsed="false">
      <c r="A64" s="5" t="s">
        <v>136</v>
      </c>
      <c r="B64" s="13" t="n">
        <f aca="false">'Historical Financials'!D44</f>
        <v>13.942</v>
      </c>
      <c r="C64" s="14" t="n">
        <f aca="false">B64</f>
        <v>13.942</v>
      </c>
      <c r="D64" s="14" t="n">
        <f aca="false">C64</f>
        <v>13.942</v>
      </c>
      <c r="E64" s="14" t="n">
        <f aca="false">D64</f>
        <v>13.942</v>
      </c>
      <c r="F64" s="14" t="n">
        <f aca="false">E64</f>
        <v>13.942</v>
      </c>
      <c r="G64" s="14" t="n">
        <f aca="false">F64</f>
        <v>13.942</v>
      </c>
      <c r="H64" s="6" t="s">
        <v>35</v>
      </c>
    </row>
    <row r="65" customFormat="false" ht="30" hidden="false" customHeight="true" outlineLevel="0" collapsed="false">
      <c r="A65" s="5" t="s">
        <v>137</v>
      </c>
      <c r="B65" s="13" t="n">
        <f aca="false">'Historical Financials'!D45</f>
        <v>-3562.39</v>
      </c>
      <c r="C65" s="14" t="n">
        <f aca="false">B65+C26</f>
        <v>-1374.14395476328</v>
      </c>
      <c r="D65" s="14" t="n">
        <f aca="false">C65+D26</f>
        <v>1550.50403633864</v>
      </c>
      <c r="E65" s="14" t="n">
        <f aca="false">D65+E26</f>
        <v>5177.52141350226</v>
      </c>
      <c r="F65" s="14" t="n">
        <f aca="false">E65+F26</f>
        <v>9571.60346117284</v>
      </c>
      <c r="G65" s="14" t="n">
        <f aca="false">F65+G26</f>
        <v>14741.995278821</v>
      </c>
      <c r="H65" s="6" t="s">
        <v>183</v>
      </c>
    </row>
    <row r="66" customFormat="false" ht="15" hidden="false" customHeight="true" outlineLevel="0" collapsed="false">
      <c r="A66" s="5" t="s">
        <v>138</v>
      </c>
      <c r="B66" s="13" t="n">
        <f aca="false">SUM(B62:B65)</f>
        <v>7387.268</v>
      </c>
      <c r="C66" s="14" t="n">
        <f aca="false">SUM(C62:C65)</f>
        <v>10391.1640787367</v>
      </c>
      <c r="D66" s="14" t="n">
        <f aca="false">SUM(D62:D65)</f>
        <v>14205.1726989586</v>
      </c>
      <c r="E66" s="14" t="n">
        <f aca="false">SUM(E62:E65)</f>
        <v>18728.5109188615</v>
      </c>
      <c r="F66" s="14" t="n">
        <f aca="false">SUM(F62:F65)</f>
        <v>24013.2528355276</v>
      </c>
      <c r="G66" s="14" t="n">
        <f aca="false">SUM(G62:G65)</f>
        <v>30015.8549682686</v>
      </c>
      <c r="H66" s="6" t="s">
        <v>157</v>
      </c>
    </row>
    <row r="67" customFormat="false" ht="15" hidden="false" customHeight="true" outlineLevel="0" collapsed="false">
      <c r="A67" s="5" t="s">
        <v>139</v>
      </c>
      <c r="B67" s="13" t="n">
        <f aca="false">'Historical Financials'!D47</f>
        <v>100.743</v>
      </c>
      <c r="C67" s="14" t="n">
        <f aca="false">B67+C25</f>
        <v>113.95172864328</v>
      </c>
      <c r="D67" s="14" t="n">
        <f aca="false">C67+D25</f>
        <v>131.60553945476</v>
      </c>
      <c r="E67" s="14" t="n">
        <f aca="false">D67+E25</f>
        <v>153.499004508062</v>
      </c>
      <c r="F67" s="14" t="n">
        <f aca="false">E67+F25</f>
        <v>180.022638598629</v>
      </c>
      <c r="G67" s="14" t="n">
        <f aca="false">F67+G25</f>
        <v>211.232247155861</v>
      </c>
      <c r="H67" s="6" t="s">
        <v>184</v>
      </c>
    </row>
    <row r="68" customFormat="false" ht="15" hidden="false" customHeight="true" outlineLevel="0" collapsed="false">
      <c r="A68" s="5" t="s">
        <v>140</v>
      </c>
      <c r="B68" s="13" t="n">
        <f aca="false">B66+B67</f>
        <v>7488.011</v>
      </c>
      <c r="C68" s="14" t="n">
        <f aca="false">C66+C67</f>
        <v>10505.11580738</v>
      </c>
      <c r="D68" s="14" t="n">
        <f aca="false">D66+D67</f>
        <v>14336.7782384134</v>
      </c>
      <c r="E68" s="14" t="n">
        <f aca="false">E66+E67</f>
        <v>18882.0099233695</v>
      </c>
      <c r="F68" s="14" t="n">
        <f aca="false">F66+F67</f>
        <v>24193.2754741263</v>
      </c>
      <c r="G68" s="14" t="n">
        <f aca="false">G66+G67</f>
        <v>30227.0872154244</v>
      </c>
      <c r="H68" s="6" t="s">
        <v>157</v>
      </c>
    </row>
    <row r="69" customFormat="false" ht="15" hidden="false" customHeight="true" outlineLevel="0" collapsed="false">
      <c r="A69" s="5" t="s">
        <v>141</v>
      </c>
      <c r="B69" s="13" t="n">
        <f aca="false">B60+B68</f>
        <v>8900.392</v>
      </c>
      <c r="C69" s="14" t="n">
        <f aca="false">C60+C68</f>
        <v>12316.27281758</v>
      </c>
      <c r="D69" s="14" t="n">
        <f aca="false">D60+D68</f>
        <v>16467.2176223494</v>
      </c>
      <c r="E69" s="14" t="n">
        <f aca="false">E60+E68</f>
        <v>21283.522653653</v>
      </c>
      <c r="F69" s="14" t="n">
        <f aca="false">F60+F68</f>
        <v>26847.8366179038</v>
      </c>
      <c r="G69" s="14" t="n">
        <f aca="false">G60+G68</f>
        <v>33075.5241018483</v>
      </c>
      <c r="H69" s="6" t="s">
        <v>157</v>
      </c>
    </row>
    <row r="70" customFormat="false" ht="15" hidden="false" customHeight="true" outlineLevel="0" collapsed="false">
      <c r="A70" s="5" t="s">
        <v>185</v>
      </c>
      <c r="B70" s="13" t="n">
        <f aca="false">B48-B69</f>
        <v>0</v>
      </c>
      <c r="C70" s="14" t="n">
        <f aca="false">C48-C69</f>
        <v>0</v>
      </c>
      <c r="D70" s="14" t="n">
        <f aca="false">D48-D69</f>
        <v>0</v>
      </c>
      <c r="E70" s="14" t="n">
        <f aca="false">E48-E69</f>
        <v>0</v>
      </c>
      <c r="F70" s="14" t="n">
        <f aca="false">F48-F69</f>
        <v>0</v>
      </c>
      <c r="G70" s="14" t="n">
        <f aca="false">G48-G69</f>
        <v>0</v>
      </c>
      <c r="H70" s="6" t="s">
        <v>186</v>
      </c>
    </row>
  </sheetData>
  <mergeCells count="4">
    <mergeCell ref="A1:I1"/>
    <mergeCell ref="A4:I4"/>
    <mergeCell ref="A30:I30"/>
    <mergeCell ref="A39:I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8" min="2" style="1" width="48"/>
  </cols>
  <sheetData>
    <row r="1" customFormat="false" ht="18" hidden="false" customHeight="true" outlineLevel="0" collapsed="false">
      <c r="A1" s="2" t="s">
        <v>187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/>
    <row r="3" customFormat="false" ht="18" hidden="false" customHeight="true" outlineLevel="0" collapsed="false">
      <c r="A3" s="7" t="s">
        <v>188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189</v>
      </c>
      <c r="H3" s="7" t="s">
        <v>95</v>
      </c>
    </row>
    <row r="4" customFormat="false" ht="15" hidden="false" customHeight="true" outlineLevel="0" collapsed="false">
      <c r="A4" s="5" t="s">
        <v>97</v>
      </c>
      <c r="B4" s="20" t="n">
        <f aca="false">'Forecast Model'!C5</f>
        <v>6041.8521</v>
      </c>
      <c r="C4" s="20" t="n">
        <f aca="false">'Forecast Model'!D5</f>
        <v>7733.570688</v>
      </c>
      <c r="D4" s="20" t="n">
        <f aca="false">'Forecast Model'!E5</f>
        <v>9434.95623936</v>
      </c>
      <c r="E4" s="20" t="n">
        <f aca="false">'Forecast Model'!F5</f>
        <v>11133.2483624448</v>
      </c>
      <c r="F4" s="20" t="n">
        <f aca="false">'Forecast Model'!G5</f>
        <v>12803.2356168115</v>
      </c>
      <c r="G4" s="21"/>
    </row>
    <row r="5" customFormat="false" ht="15" hidden="false" customHeight="true" outlineLevel="0" collapsed="false">
      <c r="A5" s="5" t="s">
        <v>190</v>
      </c>
      <c r="B5" s="20" t="n">
        <f aca="false">'Forecast Model'!C17</f>
        <v>2054.229714</v>
      </c>
      <c r="C5" s="20" t="n">
        <f aca="false">'Forecast Model'!D17</f>
        <v>2822.75330112</v>
      </c>
      <c r="D5" s="20" t="n">
        <f aca="false">'Forecast Model'!E17</f>
        <v>3632.4581521536</v>
      </c>
      <c r="E5" s="20" t="n">
        <f aca="false">'Forecast Model'!F17</f>
        <v>4508.96558679014</v>
      </c>
      <c r="F5" s="20" t="n">
        <f aca="false">'Forecast Model'!G17</f>
        <v>5441.3751371449</v>
      </c>
      <c r="G5" s="21"/>
    </row>
    <row r="6" customFormat="false" ht="15" hidden="false" customHeight="true" outlineLevel="0" collapsed="false">
      <c r="A6" s="5" t="s">
        <v>51</v>
      </c>
      <c r="B6" s="22" t="n">
        <f aca="false">'Forecast Model'!C23</f>
        <v>0.03</v>
      </c>
      <c r="C6" s="22" t="n">
        <f aca="false">'Forecast Model'!D23</f>
        <v>0.05</v>
      </c>
      <c r="D6" s="22" t="n">
        <f aca="false">'Forecast Model'!E23</f>
        <v>0.08</v>
      </c>
      <c r="E6" s="22" t="n">
        <f aca="false">'Forecast Model'!F23</f>
        <v>0.1</v>
      </c>
      <c r="F6" s="22" t="n">
        <f aca="false">'Forecast Model'!G23</f>
        <v>0.12</v>
      </c>
      <c r="G6" s="21"/>
    </row>
    <row r="7" customFormat="false" ht="15" hidden="false" customHeight="true" outlineLevel="0" collapsed="false">
      <c r="A7" s="5" t="s">
        <v>191</v>
      </c>
      <c r="B7" s="20" t="n">
        <f aca="false">B5*(1-B6)</f>
        <v>1992.60282258</v>
      </c>
      <c r="C7" s="20" t="n">
        <f aca="false">C5*(1-C6)</f>
        <v>2681.615636064</v>
      </c>
      <c r="D7" s="20" t="n">
        <f aca="false">D5*(1-D6)</f>
        <v>3341.86149998131</v>
      </c>
      <c r="E7" s="20" t="n">
        <f aca="false">E5*(1-E6)</f>
        <v>4058.06902811113</v>
      </c>
      <c r="F7" s="20" t="n">
        <f aca="false">F5*(1-F6)</f>
        <v>4788.41012068751</v>
      </c>
      <c r="G7" s="21"/>
    </row>
    <row r="8" customFormat="false" ht="15" hidden="false" customHeight="true" outlineLevel="0" collapsed="false">
      <c r="A8" s="5" t="s">
        <v>143</v>
      </c>
      <c r="B8" s="20" t="n">
        <f aca="false">'Forecast Model'!C31</f>
        <v>36.2511126</v>
      </c>
      <c r="C8" s="20" t="n">
        <f aca="false">'Forecast Model'!D31</f>
        <v>46.401424128</v>
      </c>
      <c r="D8" s="20" t="n">
        <f aca="false">'Forecast Model'!E31</f>
        <v>56.60973743616</v>
      </c>
      <c r="E8" s="20" t="n">
        <f aca="false">'Forecast Model'!F31</f>
        <v>66.7994901746688</v>
      </c>
      <c r="F8" s="20" t="n">
        <f aca="false">'Forecast Model'!G31</f>
        <v>76.8194137008691</v>
      </c>
      <c r="G8" s="21"/>
    </row>
    <row r="9" customFormat="false" ht="15" hidden="false" customHeight="true" outlineLevel="0" collapsed="false">
      <c r="A9" s="5" t="s">
        <v>173</v>
      </c>
      <c r="B9" s="20" t="n">
        <f aca="false">'Forecast Model'!C35</f>
        <v>-48.3348168</v>
      </c>
      <c r="C9" s="20" t="n">
        <f aca="false">'Forecast Model'!D35</f>
        <v>-61.868565504</v>
      </c>
      <c r="D9" s="20" t="n">
        <f aca="false">'Forecast Model'!E35</f>
        <v>-75.47964991488</v>
      </c>
      <c r="E9" s="20" t="n">
        <f aca="false">'Forecast Model'!F35</f>
        <v>-89.0659868995584</v>
      </c>
      <c r="F9" s="20" t="n">
        <f aca="false">'Forecast Model'!G35</f>
        <v>-102.425884934492</v>
      </c>
      <c r="G9" s="21"/>
    </row>
    <row r="10" customFormat="false" ht="30" hidden="false" customHeight="true" outlineLevel="0" collapsed="false">
      <c r="A10" s="5" t="s">
        <v>192</v>
      </c>
      <c r="B10" s="20" t="n">
        <f aca="false">-'Forecast Model'!C33</f>
        <v>199.928703924658</v>
      </c>
      <c r="C10" s="20" t="n">
        <f aca="false">-'Forecast Model'!D33</f>
        <v>208.352855843014</v>
      </c>
      <c r="D10" s="20" t="n">
        <f aca="false">-'Forecast Model'!E33</f>
        <v>224.58077399303</v>
      </c>
      <c r="E10" s="20" t="n">
        <f aca="false">-'Forecast Model'!F33</f>
        <v>222.535721273014</v>
      </c>
      <c r="F10" s="20" t="n">
        <f aca="false">-'Forecast Model'!G33</f>
        <v>182.05911277628</v>
      </c>
      <c r="G10" s="21"/>
      <c r="H10" s="6" t="s">
        <v>193</v>
      </c>
    </row>
    <row r="11" customFormat="false" ht="15" hidden="false" customHeight="true" outlineLevel="0" collapsed="false">
      <c r="A11" s="5" t="s">
        <v>194</v>
      </c>
      <c r="B11" s="20" t="n">
        <f aca="false">B7+B8+B9+B10</f>
        <v>2180.44782230466</v>
      </c>
      <c r="C11" s="20" t="n">
        <f aca="false">C7+C8+C9+C10</f>
        <v>2874.50135053101</v>
      </c>
      <c r="D11" s="20" t="n">
        <f aca="false">D7+D8+D9+D10</f>
        <v>3547.57236149562</v>
      </c>
      <c r="E11" s="20" t="n">
        <f aca="false">E7+E8+E9+E10</f>
        <v>4258.33825265925</v>
      </c>
      <c r="F11" s="20" t="n">
        <f aca="false">F7+F8+F9+F10</f>
        <v>4944.86276223017</v>
      </c>
      <c r="G11" s="21"/>
    </row>
    <row r="12" customFormat="false" ht="15" hidden="false" customHeight="true" outlineLevel="0" collapsed="false">
      <c r="A12" s="5" t="s">
        <v>195</v>
      </c>
      <c r="B12" s="12" t="n">
        <v>0.5</v>
      </c>
      <c r="C12" s="12" t="n">
        <v>1.5</v>
      </c>
      <c r="D12" s="12" t="n">
        <v>2.5</v>
      </c>
      <c r="E12" s="12" t="n">
        <v>3.5</v>
      </c>
      <c r="F12" s="12" t="n">
        <v>4.5</v>
      </c>
      <c r="G12" s="21"/>
      <c r="H12" s="6" t="s">
        <v>196</v>
      </c>
    </row>
    <row r="13" customFormat="false" ht="15" hidden="false" customHeight="true" outlineLevel="0" collapsed="false">
      <c r="A13" s="5" t="s">
        <v>76</v>
      </c>
      <c r="B13" s="22" t="n">
        <f aca="false">Inputs!B21</f>
        <v>0.095</v>
      </c>
      <c r="C13" s="22" t="n">
        <f aca="false">Inputs!B21</f>
        <v>0.095</v>
      </c>
      <c r="D13" s="22" t="n">
        <f aca="false">Inputs!B21</f>
        <v>0.095</v>
      </c>
      <c r="E13" s="22" t="n">
        <f aca="false">Inputs!B21</f>
        <v>0.095</v>
      </c>
      <c r="F13" s="22" t="n">
        <f aca="false">Inputs!B21</f>
        <v>0.095</v>
      </c>
      <c r="G13" s="21"/>
      <c r="H13" s="6" t="s">
        <v>35</v>
      </c>
    </row>
    <row r="14" customFormat="false" ht="15" hidden="false" customHeight="true" outlineLevel="0" collapsed="false">
      <c r="A14" s="5" t="s">
        <v>197</v>
      </c>
      <c r="B14" s="20" t="n">
        <f aca="false">1/(1+B13)^B12</f>
        <v>0.955636965134993</v>
      </c>
      <c r="C14" s="20" t="n">
        <f aca="false">1/(1+C13)^C12</f>
        <v>0.87272782204109</v>
      </c>
      <c r="D14" s="20" t="n">
        <f aca="false">1/(1+D13)^D12</f>
        <v>0.797011709626566</v>
      </c>
      <c r="E14" s="20" t="n">
        <f aca="false">1/(1+E13)^E12</f>
        <v>0.72786457500143</v>
      </c>
      <c r="F14" s="20" t="n">
        <f aca="false">1/(1+F13)^F12</f>
        <v>0.664716506850621</v>
      </c>
      <c r="G14" s="21"/>
    </row>
    <row r="15" customFormat="false" ht="15" hidden="false" customHeight="true" outlineLevel="0" collapsed="false">
      <c r="A15" s="5" t="s">
        <v>198</v>
      </c>
      <c r="B15" s="20" t="n">
        <f aca="false">B11*B14</f>
        <v>2083.71653954243</v>
      </c>
      <c r="C15" s="20" t="n">
        <f aca="false">C11*C14</f>
        <v>2508.6573031031</v>
      </c>
      <c r="D15" s="20" t="n">
        <f aca="false">D11*D14</f>
        <v>2827.45671285958</v>
      </c>
      <c r="E15" s="20" t="n">
        <f aca="false">E11*E14</f>
        <v>3099.49356248416</v>
      </c>
      <c r="F15" s="20" t="n">
        <f aca="false">F11*F14</f>
        <v>3286.93190216535</v>
      </c>
      <c r="G15" s="21"/>
    </row>
    <row r="16" customFormat="false" ht="15" hidden="false" customHeight="true" outlineLevel="0" collapsed="false">
      <c r="A16" s="5" t="s">
        <v>199</v>
      </c>
      <c r="B16" s="21"/>
      <c r="C16" s="21"/>
      <c r="D16" s="21"/>
      <c r="E16" s="21"/>
      <c r="F16" s="21"/>
      <c r="G16" s="20" t="n">
        <f aca="false">F11*(1+Inputs!B22)/(Inputs!B21-Inputs!B22)</f>
        <v>85298.8826484703</v>
      </c>
      <c r="H16" s="6" t="s">
        <v>200</v>
      </c>
    </row>
    <row r="17" customFormat="false" ht="15" hidden="false" customHeight="true" outlineLevel="0" collapsed="false">
      <c r="A17" s="5" t="s">
        <v>201</v>
      </c>
      <c r="B17" s="21"/>
      <c r="C17" s="21"/>
      <c r="D17" s="21"/>
      <c r="E17" s="21"/>
      <c r="F17" s="21"/>
      <c r="G17" s="20" t="n">
        <f aca="false">G16/(1+Inputs!B21)^4.5</f>
        <v>56699.5753123523</v>
      </c>
    </row>
    <row r="18" customFormat="false" ht="15" hidden="false" customHeight="true" outlineLevel="0" collapsed="false">
      <c r="A18" s="5" t="s">
        <v>202</v>
      </c>
      <c r="B18" s="21"/>
      <c r="C18" s="21"/>
      <c r="D18" s="21"/>
      <c r="E18" s="21"/>
      <c r="F18" s="21"/>
      <c r="G18" s="20" t="n">
        <f aca="false">SUM(B15:F15)+G17</f>
        <v>70505.8313325069</v>
      </c>
    </row>
    <row r="19" customFormat="false" ht="15" hidden="false" customHeight="true" outlineLevel="0" collapsed="false">
      <c r="A19" s="5" t="s">
        <v>203</v>
      </c>
      <c r="B19" s="21"/>
      <c r="C19" s="21"/>
      <c r="D19" s="21"/>
      <c r="E19" s="21"/>
      <c r="F19" s="21"/>
      <c r="G19" s="20" t="n">
        <f aca="false">Inputs!B24</f>
        <v>7177.043</v>
      </c>
      <c r="H19" s="6" t="s">
        <v>204</v>
      </c>
    </row>
    <row r="20" customFormat="false" ht="15" hidden="false" customHeight="true" outlineLevel="0" collapsed="false">
      <c r="A20" s="5" t="s">
        <v>86</v>
      </c>
      <c r="B20" s="21"/>
      <c r="C20" s="21"/>
      <c r="D20" s="21"/>
      <c r="E20" s="21"/>
      <c r="F20" s="21"/>
      <c r="G20" s="20" t="n">
        <f aca="false">Inputs!B25</f>
        <v>0</v>
      </c>
      <c r="H20" s="6" t="s">
        <v>204</v>
      </c>
    </row>
    <row r="21" customFormat="false" ht="15" hidden="false" customHeight="true" outlineLevel="0" collapsed="false">
      <c r="A21" s="5" t="s">
        <v>205</v>
      </c>
      <c r="B21" s="21"/>
      <c r="C21" s="21"/>
      <c r="D21" s="21"/>
      <c r="E21" s="21"/>
      <c r="F21" s="21"/>
      <c r="G21" s="20" t="n">
        <f aca="false">G18+G19-G20</f>
        <v>77682.8743325069</v>
      </c>
    </row>
    <row r="22" customFormat="false" ht="15" hidden="false" customHeight="true" outlineLevel="0" collapsed="false">
      <c r="A22" s="5" t="s">
        <v>112</v>
      </c>
      <c r="B22" s="21"/>
      <c r="C22" s="21"/>
      <c r="D22" s="21"/>
      <c r="E22" s="21"/>
      <c r="F22" s="21"/>
      <c r="G22" s="20" t="n">
        <f aca="false">Inputs!B23</f>
        <v>2565.197</v>
      </c>
      <c r="H22" s="6" t="s">
        <v>206</v>
      </c>
    </row>
    <row r="23" customFormat="false" ht="15" hidden="false" customHeight="true" outlineLevel="0" collapsed="false">
      <c r="A23" s="5" t="s">
        <v>207</v>
      </c>
      <c r="B23" s="21"/>
      <c r="C23" s="21"/>
      <c r="D23" s="21"/>
      <c r="E23" s="21"/>
      <c r="F23" s="21"/>
      <c r="G23" s="23" t="n">
        <f aca="false">G21/G22</f>
        <v>30.2833951281351</v>
      </c>
    </row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8" hidden="false" customHeight="true" outlineLevel="0" collapsed="false">
      <c r="A27" s="4" t="s">
        <v>208</v>
      </c>
      <c r="B27" s="4"/>
      <c r="C27" s="4"/>
      <c r="D27" s="4"/>
      <c r="E27" s="4"/>
      <c r="F27" s="4"/>
      <c r="G27" s="4"/>
      <c r="H27" s="4"/>
    </row>
    <row r="28" customFormat="false" ht="15" hidden="false" customHeight="true" outlineLevel="0" collapsed="false">
      <c r="A28" s="5" t="s">
        <v>209</v>
      </c>
      <c r="B28" s="24" t="n">
        <v>0.025</v>
      </c>
      <c r="C28" s="24" t="n">
        <v>0.03</v>
      </c>
      <c r="D28" s="24" t="n">
        <v>0.035</v>
      </c>
      <c r="E28" s="24" t="n">
        <v>0.04</v>
      </c>
      <c r="F28" s="24" t="n">
        <v>0.045</v>
      </c>
    </row>
    <row r="29" customFormat="false" ht="30" hidden="false" customHeight="true" outlineLevel="0" collapsed="false">
      <c r="A29" s="24" t="n">
        <v>0.085</v>
      </c>
      <c r="B29" s="23" t="n">
        <f aca="false">(SUM($B$15:$F$15)+($F$11*(1+B$28)/($A29-B$28))/(1+$A29)^4.5+$G$19-$G$20)/$G$22</f>
        <v>30.9924652571357</v>
      </c>
      <c r="C29" s="23" t="n">
        <f aca="false">(SUM($B$15:$F$15)+($F$11*(1+C$28)/($A29-C$28))/(1+$A29)^4.5+$G$19-$G$20)/$G$22</f>
        <v>33.1877229126272</v>
      </c>
      <c r="D29" s="23" t="n">
        <f aca="false">(SUM($B$15:$F$15)+($F$11*(1+D$28)/($A29-D$28))/(1+$A29)^4.5+$G$19-$G$20)/$G$22</f>
        <v>35.8220320992171</v>
      </c>
      <c r="E29" s="23" t="n">
        <f aca="false">(SUM($B$15:$F$15)+($F$11*(1+E$28)/($A29-E$28))/(1+$A29)^4.5+$G$19-$G$20)/$G$22</f>
        <v>39.0417433272713</v>
      </c>
      <c r="F29" s="23" t="n">
        <f aca="false">(SUM($B$15:$F$15)+($F$11*(1+F$28)/($A29-F$28))/(1+$A29)^4.5+$G$19-$G$20)/$G$22</f>
        <v>43.0663823623391</v>
      </c>
    </row>
    <row r="30" customFormat="false" ht="30" hidden="false" customHeight="true" outlineLevel="0" collapsed="false">
      <c r="A30" s="24" t="n">
        <v>0.09</v>
      </c>
      <c r="B30" s="23" t="n">
        <f aca="false">(SUM($B$15:$F$15)+($F$11*(1+B$28)/($A30-B$28))/(1+$A30)^4.5+$G$19-$G$20)/$G$22</f>
        <v>28.8064593595644</v>
      </c>
      <c r="C30" s="23" t="n">
        <f aca="false">(SUM($B$15:$F$15)+($F$11*(1+C$28)/($A30-C$28))/(1+$A30)^4.5+$G$19-$G$20)/$G$22</f>
        <v>30.6343330171129</v>
      </c>
      <c r="D30" s="23" t="n">
        <f aca="false">(SUM($B$15:$F$15)+($F$11*(1+D$28)/($A30-D$28))/(1+$A30)^4.5+$G$19-$G$20)/$G$22</f>
        <v>32.7945473396703</v>
      </c>
      <c r="E30" s="23" t="n">
        <f aca="false">(SUM($B$15:$F$15)+($F$11*(1+E$28)/($A30-E$28))/(1+$A30)^4.5+$G$19-$G$20)/$G$22</f>
        <v>35.3868045267392</v>
      </c>
      <c r="F30" s="23" t="n">
        <f aca="false">(SUM($B$15:$F$15)+($F$11*(1+F$28)/($A30-F$28))/(1+$A30)^4.5+$G$19-$G$20)/$G$22</f>
        <v>38.55511886649</v>
      </c>
    </row>
    <row r="31" customFormat="false" ht="30" hidden="false" customHeight="true" outlineLevel="0" collapsed="false">
      <c r="A31" s="24" t="n">
        <v>0.095</v>
      </c>
      <c r="B31" s="23" t="n">
        <f aca="false">(SUM($B$15:$F$15)+($F$11*(1+B$28)/($A31-B$28))/(1+$A31)^4.5+$G$19-$G$20)/$G$22</f>
        <v>26.9427156284143</v>
      </c>
      <c r="C31" s="23" t="n">
        <f aca="false">(SUM($B$15:$F$15)+($F$11*(1+C$28)/($A31-C$28))/(1+$A31)^4.5+$G$19-$G$20)/$G$22</f>
        <v>28.4845677052085</v>
      </c>
      <c r="D31" s="23" t="n">
        <f aca="false">(SUM($B$15:$F$15)+($F$11*(1+D$28)/($A31-D$28))/(1+$A31)^4.5+$G$19-$G$20)/$G$22</f>
        <v>30.2833951281351</v>
      </c>
      <c r="E31" s="23" t="n">
        <f aca="false">(SUM($B$15:$F$15)+($F$11*(1+E$28)/($A31-E$28))/(1+$A31)^4.5+$G$19-$G$20)/$G$22</f>
        <v>32.4092820825029</v>
      </c>
      <c r="F31" s="23" t="n">
        <f aca="false">(SUM($B$15:$F$15)+($F$11*(1+F$28)/($A31-F$28))/(1+$A31)^4.5+$G$19-$G$20)/$G$22</f>
        <v>34.9603464277443</v>
      </c>
    </row>
    <row r="32" customFormat="false" ht="30" hidden="false" customHeight="true" outlineLevel="0" collapsed="false">
      <c r="A32" s="24" t="n">
        <v>0.1</v>
      </c>
      <c r="B32" s="23" t="n">
        <f aca="false">(SUM($B$15:$F$15)+($F$11*(1+B$28)/($A32-B$28))/(1+$A32)^4.5+$G$19-$G$20)/$G$22</f>
        <v>25.336508728637</v>
      </c>
      <c r="C32" s="23" t="n">
        <f aca="false">(SUM($B$15:$F$15)+($F$11*(1+C$28)/($A32-C$28))/(1+$A32)^4.5+$G$19-$G$20)/$G$22</f>
        <v>26.6516421736487</v>
      </c>
      <c r="D32" s="23" t="n">
        <f aca="false">(SUM($B$15:$F$15)+($F$11*(1+D$28)/($A32-D$28))/(1+$A32)^4.5+$G$19-$G$20)/$G$22</f>
        <v>28.1691038409699</v>
      </c>
      <c r="E32" s="23" t="n">
        <f aca="false">(SUM($B$15:$F$15)+($F$11*(1+E$28)/($A32-E$28))/(1+$A32)^4.5+$G$19-$G$20)/$G$22</f>
        <v>29.9394757861779</v>
      </c>
      <c r="F32" s="23" t="n">
        <f aca="false">(SUM($B$15:$F$15)+($F$11*(1+F$28)/($A32-F$28))/(1+$A32)^4.5+$G$19-$G$20)/$G$22</f>
        <v>32.0317335396056</v>
      </c>
    </row>
    <row r="33" customFormat="false" ht="30" hidden="false" customHeight="true" outlineLevel="0" collapsed="false">
      <c r="A33" s="24" t="n">
        <v>0.105</v>
      </c>
      <c r="B33" s="23" t="n">
        <f aca="false">(SUM($B$15:$F$15)+($F$11*(1+B$28)/($A33-B$28))/(1+$A33)^4.5+$G$19-$G$20)/$G$22</f>
        <v>23.9393032728318</v>
      </c>
      <c r="C33" s="23" t="n">
        <f aca="false">(SUM($B$15:$F$15)+($F$11*(1+C$28)/($A33-C$28))/(1+$A33)^4.5+$G$19-$G$20)/$G$22</f>
        <v>25.0719234663371</v>
      </c>
      <c r="D33" s="23" t="n">
        <f aca="false">(SUM($B$15:$F$15)+($F$11*(1+D$28)/($A33-D$28))/(1+$A33)^4.5+$G$19-$G$20)/$G$22</f>
        <v>26.3663465446288</v>
      </c>
      <c r="E33" s="23" t="n">
        <f aca="false">(SUM($B$15:$F$15)+($F$11*(1+E$28)/($A33-E$28))/(1+$A33)^4.5+$G$19-$G$20)/$G$22</f>
        <v>27.8599116349654</v>
      </c>
      <c r="F33" s="23" t="n">
        <f aca="false">(SUM($B$15:$F$15)+($F$11*(1+F$28)/($A33-F$28))/(1+$A33)^4.5+$G$19-$G$20)/$G$22</f>
        <v>29.6024042403581</v>
      </c>
    </row>
  </sheetData>
  <mergeCells count="2">
    <mergeCell ref="A1:H1"/>
    <mergeCell ref="A27:H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3"/>
    <col collapsed="false" customWidth="true" hidden="false" outlineLevel="0" max="5" min="5" style="1" width="48"/>
  </cols>
  <sheetData>
    <row r="1" customFormat="false" ht="18" hidden="false" customHeight="true" outlineLevel="0" collapsed="false">
      <c r="A1" s="2" t="s">
        <v>210</v>
      </c>
      <c r="B1" s="2"/>
      <c r="C1" s="2"/>
      <c r="D1" s="2"/>
      <c r="E1" s="2"/>
    </row>
    <row r="2" customFormat="false" ht="15" hidden="false" customHeight="true" outlineLevel="0" collapsed="false"/>
    <row r="3" customFormat="false" ht="18" hidden="false" customHeight="true" outlineLevel="0" collapsed="false">
      <c r="A3" s="7" t="s">
        <v>211</v>
      </c>
      <c r="B3" s="7" t="s">
        <v>90</v>
      </c>
      <c r="C3" s="7" t="s">
        <v>91</v>
      </c>
      <c r="D3" s="7" t="s">
        <v>92</v>
      </c>
      <c r="E3" s="7" t="s">
        <v>93</v>
      </c>
    </row>
    <row r="4" customFormat="false" ht="15" hidden="false" customHeight="true" outlineLevel="0" collapsed="false">
      <c r="A4" s="5" t="s">
        <v>212</v>
      </c>
      <c r="B4" s="12" t="n">
        <v>1222.215</v>
      </c>
      <c r="C4" s="12" t="n">
        <v>1569.605</v>
      </c>
      <c r="D4" s="12" t="n">
        <v>2402.287</v>
      </c>
      <c r="E4" s="6" t="s">
        <v>213</v>
      </c>
    </row>
    <row r="5" customFormat="false" ht="15" hidden="false" customHeight="true" outlineLevel="0" collapsed="false">
      <c r="A5" s="5" t="s">
        <v>214</v>
      </c>
      <c r="B5" s="12" t="n">
        <v>724.97</v>
      </c>
      <c r="C5" s="12" t="n">
        <v>948.44</v>
      </c>
      <c r="D5" s="12" t="n">
        <v>1576.07</v>
      </c>
      <c r="E5" s="6" t="s">
        <v>213</v>
      </c>
    </row>
    <row r="6" customFormat="false" ht="15" hidden="false" customHeight="true" outlineLevel="0" collapsed="false">
      <c r="A6" s="5" t="s">
        <v>215</v>
      </c>
      <c r="B6" s="25" t="n">
        <f aca="false">B5/B4</f>
        <v>0.593160777768232</v>
      </c>
      <c r="C6" s="25" t="n">
        <f aca="false">C5/C4</f>
        <v>0.604253936499948</v>
      </c>
      <c r="D6" s="25" t="n">
        <f aca="false">D5/D4</f>
        <v>0.65607065267389</v>
      </c>
      <c r="E6" s="6" t="s">
        <v>157</v>
      </c>
    </row>
    <row r="7" customFormat="false" ht="15" hidden="false" customHeight="true" outlineLevel="0" collapsed="false">
      <c r="A7" s="5" t="s">
        <v>216</v>
      </c>
      <c r="B7" s="12" t="n">
        <v>1002.797</v>
      </c>
      <c r="C7" s="12" t="n">
        <v>1295.902</v>
      </c>
      <c r="D7" s="12" t="n">
        <v>2073.159</v>
      </c>
      <c r="E7" s="6" t="s">
        <v>213</v>
      </c>
    </row>
    <row r="8" customFormat="false" ht="15" hidden="false" customHeight="true" outlineLevel="0" collapsed="false">
      <c r="A8" s="5" t="s">
        <v>217</v>
      </c>
      <c r="B8" s="12" t="n">
        <v>520.585</v>
      </c>
      <c r="C8" s="12" t="n">
        <v>771.508</v>
      </c>
      <c r="D8" s="12" t="n">
        <v>1366.627</v>
      </c>
      <c r="E8" s="6" t="s">
        <v>213</v>
      </c>
    </row>
    <row r="9" customFormat="false" ht="15" hidden="false" customHeight="true" outlineLevel="0" collapsed="false">
      <c r="A9" s="5" t="s">
        <v>218</v>
      </c>
      <c r="B9" s="25" t="n">
        <f aca="false">B8/B7</f>
        <v>0.519132985040841</v>
      </c>
      <c r="C9" s="25" t="n">
        <f aca="false">C8/C7</f>
        <v>0.595344401042672</v>
      </c>
      <c r="D9" s="25" t="n">
        <f aca="false">D8/D7</f>
        <v>0.65920028323925</v>
      </c>
      <c r="E9" s="6" t="s">
        <v>157</v>
      </c>
    </row>
    <row r="10" customFormat="false" ht="15" hidden="false" customHeight="true" outlineLevel="0" collapsed="false">
      <c r="A10" s="5" t="s">
        <v>219</v>
      </c>
      <c r="B10" s="12" t="n">
        <v>1245.555</v>
      </c>
      <c r="C10" s="12" t="n">
        <v>1719.948</v>
      </c>
      <c r="D10" s="12" t="n">
        <v>2942.697</v>
      </c>
      <c r="E10" s="6" t="s">
        <v>213</v>
      </c>
    </row>
    <row r="11" customFormat="false" ht="15" hidden="false" customHeight="true" outlineLevel="0" collapsed="false">
      <c r="A11" s="5" t="s">
        <v>220</v>
      </c>
      <c r="B11" s="25" t="n">
        <f aca="false">B10/(B4+B7)</f>
        <v>0.559796980870216</v>
      </c>
      <c r="C11" s="25" t="n">
        <f aca="false">C10/(C4+C7)</f>
        <v>0.600224672283125</v>
      </c>
      <c r="D11" s="25" t="n">
        <f aca="false">D10/(D4+D7)</f>
        <v>0.657520390146591</v>
      </c>
      <c r="E11" s="6" t="s">
        <v>157</v>
      </c>
    </row>
    <row r="12" customFormat="false" ht="15" hidden="false" customHeight="true" outlineLevel="0" collapsed="false">
      <c r="A12" s="5" t="s">
        <v>221</v>
      </c>
      <c r="B12" s="12" t="n">
        <v>1378.247</v>
      </c>
      <c r="C12" s="12" t="n">
        <v>1900.247</v>
      </c>
      <c r="D12" s="12" t="n">
        <v>3320.043</v>
      </c>
      <c r="E12" s="6" t="s">
        <v>222</v>
      </c>
    </row>
    <row r="13" customFormat="false" ht="15" hidden="false" customHeight="true" outlineLevel="0" collapsed="false">
      <c r="A13" s="5" t="s">
        <v>223</v>
      </c>
      <c r="B13" s="12" t="n">
        <v>235.257</v>
      </c>
      <c r="C13" s="12" t="n">
        <v>304.575</v>
      </c>
      <c r="D13" s="12" t="n">
        <v>427.398</v>
      </c>
      <c r="E13" s="6" t="s">
        <v>222</v>
      </c>
    </row>
    <row r="14" customFormat="false" ht="15" hidden="false" customHeight="true" outlineLevel="0" collapsed="false">
      <c r="A14" s="5" t="s">
        <v>224</v>
      </c>
      <c r="B14" s="12" t="n">
        <v>611.508</v>
      </c>
      <c r="C14" s="12" t="n">
        <v>660.685</v>
      </c>
      <c r="D14" s="12" t="n">
        <v>728.005</v>
      </c>
      <c r="E14" s="6" t="s">
        <v>222</v>
      </c>
    </row>
    <row r="15" customFormat="false" ht="15" hidden="false" customHeight="true" outlineLevel="0" collapsed="false">
      <c r="A15" s="5" t="s">
        <v>225</v>
      </c>
      <c r="B15" s="12" t="n">
        <v>2225.012</v>
      </c>
      <c r="C15" s="12" t="n">
        <v>2865.507</v>
      </c>
      <c r="D15" s="12" t="n">
        <v>4475.446</v>
      </c>
      <c r="E15" s="6" t="s">
        <v>222</v>
      </c>
    </row>
    <row r="16" customFormat="false" ht="15" hidden="false" customHeight="true" outlineLevel="0" collapsed="false">
      <c r="A16" s="5" t="s">
        <v>226</v>
      </c>
      <c r="B16" s="12" t="n">
        <v>35.995</v>
      </c>
      <c r="C16" s="12" t="n">
        <v>69.065</v>
      </c>
      <c r="D16" s="12" t="n">
        <v>64.555</v>
      </c>
      <c r="E16" s="6" t="s">
        <v>227</v>
      </c>
    </row>
    <row r="17" customFormat="false" ht="15" hidden="false" customHeight="true" outlineLevel="0" collapsed="false">
      <c r="A17" s="5" t="s">
        <v>228</v>
      </c>
      <c r="B17" s="12" t="n">
        <v>160.645</v>
      </c>
      <c r="C17" s="12" t="n">
        <v>239.121</v>
      </c>
      <c r="D17" s="12" t="n">
        <v>248.732</v>
      </c>
      <c r="E17" s="6" t="s">
        <v>227</v>
      </c>
    </row>
    <row r="18" customFormat="false" ht="15" hidden="false" customHeight="true" outlineLevel="0" collapsed="false">
      <c r="A18" s="5" t="s">
        <v>229</v>
      </c>
      <c r="B18" s="12" t="n">
        <v>98.064</v>
      </c>
      <c r="C18" s="12" t="n">
        <v>165.065</v>
      </c>
      <c r="D18" s="12" t="n">
        <v>136.839</v>
      </c>
      <c r="E18" s="6" t="s">
        <v>227</v>
      </c>
    </row>
    <row r="19" customFormat="false" ht="15" hidden="false" customHeight="true" outlineLevel="0" collapsed="false">
      <c r="A19" s="5" t="s">
        <v>230</v>
      </c>
      <c r="B19" s="12" t="n">
        <v>181.199</v>
      </c>
      <c r="C19" s="12" t="n">
        <v>218.387</v>
      </c>
      <c r="D19" s="12" t="n">
        <v>233.907</v>
      </c>
      <c r="E19" s="6" t="s">
        <v>227</v>
      </c>
    </row>
    <row r="20" customFormat="false" ht="15" hidden="false" customHeight="true" outlineLevel="0" collapsed="false">
      <c r="A20" s="5" t="s">
        <v>231</v>
      </c>
      <c r="B20" s="12" t="n">
        <v>475.903</v>
      </c>
      <c r="C20" s="12" t="n">
        <v>691.638</v>
      </c>
      <c r="D20" s="12" t="n">
        <v>684.033</v>
      </c>
      <c r="E20" s="6" t="s">
        <v>227</v>
      </c>
    </row>
    <row r="21" customFormat="false" ht="15" hidden="false" customHeight="true" outlineLevel="0" collapsed="false">
      <c r="A21" s="5" t="s">
        <v>66</v>
      </c>
      <c r="B21" s="26" t="n">
        <f aca="false">B20/B15</f>
        <v>0.213887835211675</v>
      </c>
      <c r="C21" s="26" t="n">
        <f aca="false">C20/C15</f>
        <v>0.241366711021819</v>
      </c>
      <c r="D21" s="26" t="n">
        <f aca="false">D20/D15</f>
        <v>0.15284130341423</v>
      </c>
      <c r="E21" s="6" t="s">
        <v>157</v>
      </c>
    </row>
    <row r="22" customFormat="false" ht="15" hidden="false" customHeight="true" outlineLevel="0" collapsed="false">
      <c r="B22" s="27"/>
      <c r="C22" s="27"/>
      <c r="D22" s="27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48"/>
  </cols>
  <sheetData>
    <row r="1" customFormat="false" ht="18" hidden="false" customHeight="true" outlineLevel="0" collapsed="false">
      <c r="A1" s="2" t="s">
        <v>232</v>
      </c>
      <c r="B1" s="2"/>
      <c r="C1" s="2"/>
      <c r="D1" s="2"/>
      <c r="E1" s="2"/>
    </row>
    <row r="2" customFormat="false" ht="15" hidden="false" customHeight="true" outlineLevel="0" collapsed="false"/>
    <row r="3" customFormat="false" ht="18" hidden="false" customHeight="true" outlineLevel="0" collapsed="false">
      <c r="A3" s="7" t="s">
        <v>233</v>
      </c>
      <c r="B3" s="7" t="s">
        <v>93</v>
      </c>
      <c r="C3" s="7" t="s">
        <v>234</v>
      </c>
      <c r="D3" s="7" t="s">
        <v>235</v>
      </c>
      <c r="E3" s="7" t="s">
        <v>236</v>
      </c>
    </row>
    <row r="4" customFormat="false" ht="30" hidden="false" customHeight="true" outlineLevel="0" collapsed="false">
      <c r="A4" s="5" t="s">
        <v>237</v>
      </c>
      <c r="B4" s="6" t="s">
        <v>238</v>
      </c>
      <c r="C4" s="6" t="s">
        <v>239</v>
      </c>
      <c r="D4" s="6" t="s">
        <v>240</v>
      </c>
      <c r="E4" s="6" t="s">
        <v>241</v>
      </c>
    </row>
    <row r="5" customFormat="false" ht="30" hidden="false" customHeight="true" outlineLevel="0" collapsed="false">
      <c r="A5" s="5" t="s">
        <v>242</v>
      </c>
      <c r="B5" s="6" t="s">
        <v>243</v>
      </c>
      <c r="C5" s="6" t="s">
        <v>244</v>
      </c>
      <c r="D5" s="6" t="s">
        <v>245</v>
      </c>
      <c r="E5" s="6" t="s">
        <v>246</v>
      </c>
    </row>
    <row r="6" customFormat="false" ht="30" hidden="false" customHeight="true" outlineLevel="0" collapsed="false">
      <c r="A6" s="5" t="s">
        <v>247</v>
      </c>
      <c r="B6" s="6" t="s">
        <v>237</v>
      </c>
      <c r="C6" s="6" t="s">
        <v>239</v>
      </c>
      <c r="D6" s="6" t="s">
        <v>248</v>
      </c>
      <c r="E6" s="6" t="s">
        <v>249</v>
      </c>
    </row>
    <row r="7" customFormat="false" ht="30" hidden="false" customHeight="true" outlineLevel="0" collapsed="false">
      <c r="A7" s="5" t="s">
        <v>250</v>
      </c>
      <c r="B7" s="6" t="s">
        <v>237</v>
      </c>
      <c r="C7" s="6" t="s">
        <v>239</v>
      </c>
      <c r="D7" s="6" t="s">
        <v>251</v>
      </c>
      <c r="E7" s="6" t="s">
        <v>252</v>
      </c>
    </row>
    <row r="8" customFormat="false" ht="30" hidden="false" customHeight="true" outlineLevel="0" collapsed="false">
      <c r="A8" s="5" t="s">
        <v>253</v>
      </c>
      <c r="B8" s="6" t="s">
        <v>237</v>
      </c>
      <c r="C8" s="6" t="s">
        <v>239</v>
      </c>
      <c r="D8" s="6" t="s">
        <v>254</v>
      </c>
      <c r="E8" s="6" t="s">
        <v>255</v>
      </c>
    </row>
    <row r="9" customFormat="false" ht="30" hidden="false" customHeight="true" outlineLevel="0" collapsed="false">
      <c r="A9" s="5" t="s">
        <v>256</v>
      </c>
      <c r="B9" s="6" t="s">
        <v>237</v>
      </c>
      <c r="C9" s="6" t="s">
        <v>239</v>
      </c>
      <c r="D9" s="6" t="s">
        <v>257</v>
      </c>
      <c r="E9" s="6" t="s">
        <v>258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48"/>
  </cols>
  <sheetData>
    <row r="1" customFormat="false" ht="18" hidden="false" customHeight="true" outlineLevel="0" collapsed="false">
      <c r="A1" s="2" t="s">
        <v>259</v>
      </c>
      <c r="B1" s="2"/>
      <c r="C1" s="2"/>
      <c r="D1" s="2"/>
      <c r="E1" s="2"/>
      <c r="F1" s="2"/>
    </row>
    <row r="2" customFormat="false" ht="15" hidden="false" customHeight="true" outlineLevel="0" collapsed="false"/>
    <row r="3" customFormat="false" ht="18" hidden="false" customHeight="true" outlineLevel="0" collapsed="false">
      <c r="A3" s="7" t="s">
        <v>260</v>
      </c>
      <c r="B3" s="7" t="s">
        <v>90</v>
      </c>
      <c r="C3" s="7" t="s">
        <v>91</v>
      </c>
      <c r="D3" s="7" t="s">
        <v>92</v>
      </c>
      <c r="E3" s="7" t="s">
        <v>261</v>
      </c>
      <c r="F3" s="7" t="s">
        <v>31</v>
      </c>
    </row>
    <row r="4" customFormat="false" ht="15" hidden="false" customHeight="true" outlineLevel="0" collapsed="false">
      <c r="A4" s="5" t="s">
        <v>262</v>
      </c>
      <c r="B4" s="20" t="n">
        <f aca="false">'Historical Financials'!B5-2225.012</f>
        <v>0</v>
      </c>
      <c r="C4" s="20" t="n">
        <f aca="false">'Historical Financials'!C5-2865.507</f>
        <v>0</v>
      </c>
      <c r="D4" s="20" t="n">
        <f aca="false">'Historical Financials'!D5-4475.446</f>
        <v>0</v>
      </c>
      <c r="E4" s="21"/>
      <c r="F4" s="6" t="str">
        <f aca="false">IF(AND(B4=0,C4=0,D4=0),"PASS","CHECK")</f>
        <v>PASS</v>
      </c>
    </row>
    <row r="5" customFormat="false" ht="15" hidden="false" customHeight="true" outlineLevel="0" collapsed="false">
      <c r="A5" s="5" t="s">
        <v>263</v>
      </c>
      <c r="B5" s="20" t="n">
        <f aca="false">'Historical Financials'!B12-119.966</f>
        <v>0</v>
      </c>
      <c r="C5" s="20" t="n">
        <f aca="false">'Historical Financials'!C12-310.403</f>
        <v>0</v>
      </c>
      <c r="D5" s="20" t="n">
        <f aca="false">'Historical Financials'!D12-1414.015</f>
        <v>0</v>
      </c>
      <c r="E5" s="21"/>
      <c r="F5" s="6" t="str">
        <f aca="false">IF(AND(B5=0,C5=0,D5=0),"PASS","CHECK")</f>
        <v>PASS</v>
      </c>
    </row>
    <row r="6" customFormat="false" ht="15" hidden="false" customHeight="true" outlineLevel="0" collapsed="false">
      <c r="A6" s="5" t="s">
        <v>264</v>
      </c>
      <c r="B6" s="20" t="n">
        <f aca="false">'Historical Financials'!B19-209.825</f>
        <v>0</v>
      </c>
      <c r="C6" s="20" t="n">
        <f aca="false">'Historical Financials'!C19-462.19</f>
        <v>0</v>
      </c>
      <c r="D6" s="20" t="n">
        <f aca="false">'Historical Financials'!D19-1625.033</f>
        <v>0</v>
      </c>
      <c r="E6" s="21"/>
      <c r="F6" s="6" t="str">
        <f aca="false">IF(AND(B6=0,C6=0,D6=0),"PASS","CHECK")</f>
        <v>PASS</v>
      </c>
    </row>
    <row r="7" customFormat="false" ht="15" hidden="false" customHeight="true" outlineLevel="0" collapsed="false">
      <c r="A7" s="5" t="s">
        <v>265</v>
      </c>
      <c r="B7" s="20" t="n">
        <f aca="false">'Historical Financials'!B30-4522.425</f>
        <v>0</v>
      </c>
      <c r="C7" s="20" t="n">
        <f aca="false">'Historical Financials'!C30-6340.884</f>
        <v>0</v>
      </c>
      <c r="D7" s="20" t="n">
        <f aca="false">'Historical Financials'!D30-8900.392</f>
        <v>0</v>
      </c>
      <c r="E7" s="21"/>
      <c r="F7" s="6" t="str">
        <f aca="false">IF(AND(B7=0,C7=0,D7=0),"PASS","CHECK")</f>
        <v>PASS</v>
      </c>
    </row>
    <row r="8" customFormat="false" ht="15" hidden="false" customHeight="true" outlineLevel="0" collapsed="false">
      <c r="A8" s="5" t="s">
        <v>266</v>
      </c>
      <c r="B8" s="20" t="n">
        <f aca="false">'Historical Financials'!B49-4522.425</f>
        <v>0</v>
      </c>
      <c r="C8" s="20" t="n">
        <f aca="false">'Historical Financials'!C49-6340.884</f>
        <v>0</v>
      </c>
      <c r="D8" s="20" t="n">
        <f aca="false">'Historical Financials'!D49-8900.392</f>
        <v>0</v>
      </c>
      <c r="E8" s="21"/>
      <c r="F8" s="6" t="str">
        <f aca="false">IF(AND(B8=0,C8=0,D8=0),"PASS","CHECK")</f>
        <v>PASS</v>
      </c>
    </row>
    <row r="9" customFormat="false" ht="15" hidden="false" customHeight="true" outlineLevel="0" collapsed="false">
      <c r="A9" s="5" t="s">
        <v>267</v>
      </c>
      <c r="B9" s="20" t="n">
        <f aca="false">'Historical Financials'!B56-712.183</f>
        <v>0</v>
      </c>
      <c r="C9" s="20" t="n">
        <f aca="false">'Historical Financials'!C56-1153.865</f>
        <v>0</v>
      </c>
      <c r="D9" s="20" t="n">
        <f aca="false">'Historical Financials'!D56-2134.473</f>
        <v>0</v>
      </c>
      <c r="E9" s="21"/>
      <c r="F9" s="6" t="str">
        <f aca="false">IF(AND(B9=0,C9=0,D9=0),"PASS","CHECK")</f>
        <v>PASS</v>
      </c>
    </row>
    <row r="10" customFormat="false" ht="30" hidden="false" customHeight="true" outlineLevel="0" collapsed="false">
      <c r="A10" s="5" t="s">
        <v>268</v>
      </c>
      <c r="B10" s="20" t="n">
        <f aca="false">'Historical Financials'!B30-'Historical Financials'!B49</f>
        <v>0</v>
      </c>
      <c r="C10" s="20" t="n">
        <f aca="false">'Historical Financials'!C30-'Historical Financials'!C49</f>
        <v>0</v>
      </c>
      <c r="D10" s="20" t="n">
        <f aca="false">'Historical Financials'!D30-'Historical Financials'!D49</f>
        <v>0</v>
      </c>
      <c r="E10" s="21"/>
      <c r="F10" s="6" t="str">
        <f aca="false">IF(AND(B10=0,C10=0,D10=0),"PASS","CHECK")</f>
        <v>PASS</v>
      </c>
    </row>
    <row r="11" customFormat="false" ht="45" hidden="false" customHeight="true" outlineLevel="0" collapsed="false">
      <c r="A11" s="5" t="s">
        <v>269</v>
      </c>
      <c r="B11" s="21"/>
      <c r="C11" s="21"/>
      <c r="D11" s="21"/>
      <c r="E11" s="20" t="n">
        <f aca="false">ABS('Forecast Model'!C70)+ABS('Forecast Model'!D70)+ABS('Forecast Model'!E70)+ABS('Forecast Model'!F70)+ABS('Forecast Model'!G70)</f>
        <v>0</v>
      </c>
      <c r="F11" s="6" t="str">
        <f aca="false">IF(E11&lt;0.1,"PASS","CHECK")</f>
        <v>PASS</v>
      </c>
    </row>
    <row r="12" customFormat="false" ht="15" hidden="false" customHeight="true" outlineLevel="0" collapsed="false">
      <c r="A12" s="5" t="s">
        <v>270</v>
      </c>
      <c r="B12" s="21"/>
      <c r="C12" s="21"/>
      <c r="D12" s="21"/>
      <c r="E12" s="20" t="str">
        <f aca="false">IF(DCF!G23&gt;0,"PASS","CHECK")</f>
        <v>PASS</v>
      </c>
      <c r="F12" s="6" t="str">
        <f aca="false">E12</f>
        <v>PASS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2026-06-24T21:47:53Z</dcterms:created>
  <dc:creator/>
  <dc:description/>
  <dc:language>en-US</dc:language>
  <cp:lastModifiedBy/>
  <dcterms:modified xsi:type="dcterms:W3CDTF">2026-06-30T19:52:49Z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