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perations" sheetId="2" state="visible" r:id="rId4"/>
    <sheet name="Debt" sheetId="3" state="visible" r:id="rId5"/>
    <sheet name="CashFlow" sheetId="4" state="visible" r:id="rId6"/>
    <sheet name="Waterfal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<sst xmlns="http://schemas.openxmlformats.org/spreadsheetml/2006/main" count="170" uniqueCount="143">
  <si>
    <t xml:space="preserve">VALUE-ADD MULTIFAMILY — Parkview Apartments, Sacramento, CA (Illustrative Case Study)</t>
  </si>
  <si>
    <t xml:space="preserve">Deal Overview</t>
  </si>
  <si>
    <t xml:space="preserve">Property Name</t>
  </si>
  <si>
    <t xml:space="preserve">Parkview Apartments (Value-Add Case Study)</t>
  </si>
  <si>
    <t xml:space="preserve">Market</t>
  </si>
  <si>
    <t xml:space="preserve">Sacramento, CA</t>
  </si>
  <si>
    <t xml:space="preserve">Units</t>
  </si>
  <si>
    <t xml:space="preserve">Year Built</t>
  </si>
  <si>
    <t xml:space="preserve">Purchase Price</t>
  </si>
  <si>
    <t xml:space="preserve">Price / Unit</t>
  </si>
  <si>
    <t xml:space="preserve">Renovation $ / Unit</t>
  </si>
  <si>
    <t xml:space="preserve">Closing Cost %</t>
  </si>
  <si>
    <t xml:space="preserve">Loan-to-Cost (LTC)</t>
  </si>
  <si>
    <t xml:space="preserve">Loan Origination Fee %</t>
  </si>
  <si>
    <t xml:space="preserve">Sources &amp; Uses</t>
  </si>
  <si>
    <t xml:space="preserve">USES</t>
  </si>
  <si>
    <t xml:space="preserve">Closing Costs</t>
  </si>
  <si>
    <t xml:space="preserve">Renovation Budget</t>
  </si>
  <si>
    <t xml:space="preserve">Loan Origination Fee</t>
  </si>
  <si>
    <t xml:space="preserve">Total Uses</t>
  </si>
  <si>
    <t xml:space="preserve">SOURCES</t>
  </si>
  <si>
    <t xml:space="preserve">Senior Loan (LTC x [Price+Reno])</t>
  </si>
  <si>
    <t xml:space="preserve">Total Equity</t>
  </si>
  <si>
    <t xml:space="preserve">Check (Sources - Uses)</t>
  </si>
  <si>
    <t xml:space="preserve">Equity Structure</t>
  </si>
  <si>
    <t xml:space="preserve">LP Capital Share</t>
  </si>
  <si>
    <t xml:space="preserve">GP Capital Share</t>
  </si>
  <si>
    <t xml:space="preserve">LP Equity</t>
  </si>
  <si>
    <t xml:space="preserve">GP Equity</t>
  </si>
  <si>
    <t xml:space="preserve">Returns Summary (5-Year Hold)</t>
  </si>
  <si>
    <t xml:space="preserve">Going-in Cap Rate (Yr1 NOI / Price)</t>
  </si>
  <si>
    <t xml:space="preserve">Stabilized NOI (Year 3)</t>
  </si>
  <si>
    <t xml:space="preserve">Stabilized Yield-on-Cost</t>
  </si>
  <si>
    <t xml:space="preserve">Exit Cap Rate</t>
  </si>
  <si>
    <t xml:space="preserve">Project Unlevered IRR</t>
  </si>
  <si>
    <t xml:space="preserve">Project Levered IRR</t>
  </si>
  <si>
    <t xml:space="preserve">Project Equity Multiple</t>
  </si>
  <si>
    <t xml:space="preserve">LP IRR</t>
  </si>
  <si>
    <t xml:space="preserve">LP Equity Multiple</t>
  </si>
  <si>
    <t xml:space="preserve">GP IRR (with promote)</t>
  </si>
  <si>
    <t xml:space="preserve">GP Equity Multiple</t>
  </si>
  <si>
    <t xml:space="preserve">GP Promote ($ above pro-rata)</t>
  </si>
  <si>
    <t xml:space="preserve">Note: Illustrative value-add case study. Unit count, price, rents and costs are analyst assumptions from Sacramento Class B/C market data, not an actual transaction.</t>
  </si>
  <si>
    <t xml:space="preserve">OPERATIONS — Value-Add Rent Ramp &amp; 5-Year Operating Statement</t>
  </si>
  <si>
    <t xml:space="preserve">Operating Assumptions</t>
  </si>
  <si>
    <t xml:space="preserve">In-Place Blended Rent ($/unit/mo)</t>
  </si>
  <si>
    <t xml:space="preserve">Stabilized Rent ($/unit/mo)</t>
  </si>
  <si>
    <t xml:space="preserve">Units (link)</t>
  </si>
  <si>
    <t xml:space="preserve">% Units Renovated - Year 1</t>
  </si>
  <si>
    <t xml:space="preserve">% Units Renovated - Year 2</t>
  </si>
  <si>
    <t xml:space="preserve">Market Rent Growth (post-stabilization)</t>
  </si>
  <si>
    <t xml:space="preserve">Other Income ($/unit/mo)</t>
  </si>
  <si>
    <t xml:space="preserve">Vacancy - Year 1 (reno downtime)</t>
  </si>
  <si>
    <t xml:space="preserve">Vacancy - Year 2</t>
  </si>
  <si>
    <t xml:space="preserve">Vacancy - Year 3+ (stabilized)</t>
  </si>
  <si>
    <t xml:space="preserve">Management Fee (% EGI)</t>
  </si>
  <si>
    <t xml:space="preserve">Property Tax Rate (% of Price)</t>
  </si>
  <si>
    <t xml:space="preserve">Property Tax Growth</t>
  </si>
  <si>
    <t xml:space="preserve">Expense Growth</t>
  </si>
  <si>
    <t xml:space="preserve">Capital Reserves ($/unit/yr)</t>
  </si>
  <si>
    <t xml:space="preserve">Insurance ($/unit/yr)</t>
  </si>
  <si>
    <t xml:space="preserve">Repairs &amp; Maintenance ($/unit/yr)</t>
  </si>
  <si>
    <t xml:space="preserve">Payroll &amp; On-site Mgmt ($/unit/yr)</t>
  </si>
  <si>
    <t xml:space="preserve">General &amp; Administrative ($/unit/yr)</t>
  </si>
  <si>
    <t xml:space="preserve">Utilities ($/unit/yr)</t>
  </si>
  <si>
    <t xml:space="preserve">5-Year Operating Statement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</si>
  <si>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</si>
  <si>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</si>
  <si>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</si>
  <si>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</si>
  <si>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</si>
  <si>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Blended Rent / Unit / Month</t>
  </si>
  <si>
    <t xml:space="preserve">Vacancy Rate</t>
  </si>
  <si>
    <t xml:space="preserve">Gross Potential Rent (GPR)</t>
  </si>
  <si>
    <t xml:space="preserve">Vacancy &amp; Credit Loss</t>
  </si>
  <si>
    <t xml:space="preserve">Other Income</t>
  </si>
  <si>
    <t xml:space="preserve">Effective Gross Income (EGI)</t>
  </si>
  <si>
    <t xml:space="preserve">Operating Expenses:</t>
  </si>
  <si>
    <t xml:space="preserve">  Property Taxes</t>
  </si>
  <si>
    <t xml:space="preserve">  Insurance</t>
  </si>
  <si>
    <t xml:space="preserve">  Repairs &amp; Maintenance</t>
  </si>
  <si>
    <t xml:space="preserve">  Payroll &amp; On-site Mgmt</t>
  </si>
  <si>
    <t xml:space="preserve">  General &amp; Administrative</t>
  </si>
  <si>
    <t xml:space="preserve">  Utilities</t>
  </si>
  <si>
    <t xml:space="preserve">  Management Fee</t>
  </si>
  <si>
    <t xml:space="preserve">Total Operating Expenses</t>
  </si>
  <si>
    <t xml:space="preserve">Net Operating Income (NOI)</t>
  </si>
  <si>
    <t xml:space="preserve">Capital Reserves</t>
  </si>
  <si>
    <t xml:space="preserve">DEBT — Bridge Loan (Interest-Only)</t>
  </si>
  <si>
    <t xml:space="preserve">Loan Terms</t>
  </si>
  <si>
    <t xml:space="preserve">Loan Amount (link)</t>
  </si>
  <si>
    <t xml:space="preserve">Interest Rate (annual, IO)</t>
  </si>
  <si>
    <t xml:space="preserve">Loan Type</t>
  </si>
  <si>
    <t xml:space="preserve">Interest-Only (Bridge)</t>
  </si>
  <si>
    <t xml:space="preserve">Hold Period (years)</t>
  </si>
  <si>
    <t xml:space="preserve">5-Year Debt Service (Interest-Only)</t>
  </si>
  <si>
    <t xml:space="preserve">Beginning Balance</t>
  </si>
  <si>
    <t xml:space="preserve">Debt Service (Interest)</t>
  </si>
  <si>
    <t xml:space="preserve">Ending Balance</t>
  </si>
  <si>
    <t xml:space="preserve">DSCR (NOI / Debt Service)</t>
  </si>
  <si>
    <t xml:space="preserve">CASH FLOW &amp; RETURNS — Project-Level (Unlevered &amp; Levered)</t>
  </si>
  <si>
    <t xml:space="preserve">Exit Assumptions</t>
  </si>
  <si>
    <t xml:space="preserve">Selling Costs (%)</t>
  </si>
  <si>
    <t xml:space="preserve">Hold (years)</t>
  </si>
  <si>
    <t xml:space="preserve">5-Year Cash Flow</t>
  </si>
  <si>
    <t xml:space="preserve">Year 0</t>
  </si>
  <si>
    <t xml:space="preserve">Less: Capital Reserves</t>
  </si>
  <si>
    <t xml:space="preserve">Unlevered Cash Flow</t>
  </si>
  <si>
    <t xml:space="preserve">Less: Debt Service</t>
  </si>
  <si>
    <t xml:space="preserve">Levered Cash Flow (pre-sale)</t>
  </si>
  <si>
    <t xml:space="preserve">Reversion (Year 5 Sale)</t>
  </si>
  <si>
    <t xml:space="preserve">Forward NOI (Year 6E)</t>
  </si>
  <si>
    <t xml:space="preserve">Gross Sale Price</t>
  </si>
  <si>
    <t xml:space="preserve">Less: Selling Costs</t>
  </si>
  <si>
    <t xml:space="preserve">Less: Loan Payoff</t>
  </si>
  <si>
    <t xml:space="preserve">Net Sale Proceeds to Equity</t>
  </si>
  <si>
    <t xml:space="preserve">Total Unlevered Cash Flow</t>
  </si>
  <si>
    <t xml:space="preserve">Total Levered Cash Flow (Equity)</t>
  </si>
  <si>
    <t xml:space="preserve">Return Metrics</t>
  </si>
  <si>
    <t xml:space="preserve">Unlevered IRR</t>
  </si>
  <si>
    <t xml:space="preserve">Levered IRR</t>
  </si>
  <si>
    <t xml:space="preserve">Equity Multiple</t>
  </si>
  <si>
    <t xml:space="preserve">Avg Cash-on-Cash (operating)</t>
  </si>
  <si>
    <t xml:space="preserve">EQUITY WATERFALL — LP / GP Distribution (8% Pref, 70/30 Promote)</t>
  </si>
  <si>
    <t xml:space="preserve">Waterfall Terms</t>
  </si>
  <si>
    <t xml:space="preserve">Preferred Return (cumulative)</t>
  </si>
  <si>
    <t xml:space="preserve">Residual Split - LP</t>
  </si>
  <si>
    <t xml:space="preserve">Residual Split - GP (promote)</t>
  </si>
  <si>
    <t xml:space="preserve">Distribution Waterfall</t>
  </si>
  <si>
    <t xml:space="preserve">Distributable Equity Cash Flow</t>
  </si>
  <si>
    <t xml:space="preserve">8% Hurdle Account (Return of Capital + Pref)</t>
  </si>
  <si>
    <t xml:space="preserve">  Beginning Balance</t>
  </si>
  <si>
    <t xml:space="preserve">  Accrued at 8% (BOP x 1.08)</t>
  </si>
  <si>
    <t xml:space="preserve">  Distribution to Hurdle</t>
  </si>
  <si>
    <t xml:space="preserve">  Ending Balance</t>
  </si>
  <si>
    <t xml:space="preserve">  Residual After Hurdle</t>
  </si>
  <si>
    <t xml:space="preserve">LP Distribution</t>
  </si>
  <si>
    <t xml:space="preserve">GP Distribution</t>
  </si>
  <si>
    <t xml:space="preserve">LP Cash Flow</t>
  </si>
  <si>
    <t xml:space="preserve">GP Cash Flow</t>
  </si>
  <si>
    <t xml:space="preserve">Partner Returns</t>
  </si>
  <si>
    <t xml:space="preserve">Total Distributions</t>
  </si>
  <si>
    <t xml:space="preserve">GP Pro-Rata Share (10%)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</si>
</sst>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$#,##0;&quot;($&quot;#,##0\);\-"/>
    <numFmt numFmtId="167" formatCode="0.0%"/>
    <numFmt numFmtId="168" formatCode="0.00%"/>
    <numFmt numFmtId="169" formatCode="0.00\x"/>
    <numFmt numFmtId="170" formatCode="#,##0;\(#,##0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1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2</v>
      </c>
      <c r="C4" s="6" t="s">
        <v>3</v>
      </c>
    </row>
    <row r="5" customFormat="false" ht="15" hidden="false" customHeight="true" outlineLevel="0" collapsed="false">
      <c r="A5" s="5" t="s">
        <v>4</v>
      </c>
      <c r="C5" s="6" t="s">
        <v>5</v>
      </c>
    </row>
    <row r="6" customFormat="false" ht="15" hidden="false" customHeight="true" outlineLevel="0" collapsed="false">
      <c r="A6" s="5" t="s">
        <v>6</v>
      </c>
      <c r="C6" s="7" t="n">
        <v>48</v>
      </c>
    </row>
    <row r="7" customFormat="false" ht="15" hidden="false" customHeight="true" outlineLevel="0" collapsed="false">
      <c r="A7" s="5" t="s">
        <v>7</v>
      </c>
      <c r="C7" s="7" t="n">
        <v>1985</v>
      </c>
    </row>
    <row r="8" customFormat="false" ht="15" hidden="false" customHeight="true" outlineLevel="0" collapsed="false">
      <c r="A8" s="5" t="s">
        <v>8</v>
      </c>
      <c r="C8" s="8" t="n">
        <v>8400000</v>
      </c>
    </row>
    <row r="9" customFormat="false" ht="15" hidden="false" customHeight="true" outlineLevel="0" collapsed="false">
      <c r="A9" s="5" t="s">
        <v>9</v>
      </c>
      <c r="C9" s="9" t="n">
        <f aca="false">C8/C6</f>
        <v>175000</v>
      </c>
    </row>
    <row r="10" customFormat="false" ht="15" hidden="false" customHeight="true" outlineLevel="0" collapsed="false">
      <c r="A10" s="5" t="s">
        <v>10</v>
      </c>
      <c r="C10" s="8" t="n">
        <v>18000</v>
      </c>
    </row>
    <row r="11" customFormat="false" ht="15" hidden="false" customHeight="true" outlineLevel="0" collapsed="false">
      <c r="A11" s="5" t="s">
        <v>11</v>
      </c>
      <c r="C11" s="10" t="n">
        <v>0.015</v>
      </c>
    </row>
    <row r="12" customFormat="false" ht="15" hidden="false" customHeight="true" outlineLevel="0" collapsed="false">
      <c r="A12" s="5" t="s">
        <v>12</v>
      </c>
      <c r="C12" s="10" t="n">
        <v>0.65</v>
      </c>
    </row>
    <row r="13" customFormat="false" ht="15" hidden="false" customHeight="true" outlineLevel="0" collapsed="false">
      <c r="A13" s="5" t="s">
        <v>13</v>
      </c>
      <c r="C13" s="10" t="n">
        <v>0.01</v>
      </c>
    </row>
    <row r="15" customFormat="false" ht="15" hidden="false" customHeight="true" outlineLevel="0" collapsed="false">
      <c r="A15" s="3" t="s">
        <v>14</v>
      </c>
      <c r="B15" s="4"/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11" t="s">
        <v>15</v>
      </c>
    </row>
    <row r="17" customFormat="false" ht="15" hidden="false" customHeight="true" outlineLevel="0" collapsed="false">
      <c r="A17" s="5" t="s">
        <v>8</v>
      </c>
      <c r="C17" s="12" t="n">
        <f aca="false">C8</f>
        <v>8400000</v>
      </c>
    </row>
    <row r="18" customFormat="false" ht="15" hidden="false" customHeight="true" outlineLevel="0" collapsed="false">
      <c r="A18" s="5" t="s">
        <v>16</v>
      </c>
      <c r="C18" s="9" t="n">
        <f aca="false">C8*C11</f>
        <v>126000</v>
      </c>
    </row>
    <row r="19" customFormat="false" ht="15" hidden="false" customHeight="true" outlineLevel="0" collapsed="false">
      <c r="A19" s="5" t="s">
        <v>17</v>
      </c>
      <c r="C19" s="9" t="n">
        <f aca="false">C10*C6</f>
        <v>864000</v>
      </c>
    </row>
    <row r="20" customFormat="false" ht="15" hidden="false" customHeight="true" outlineLevel="0" collapsed="false">
      <c r="A20" s="5" t="s">
        <v>18</v>
      </c>
      <c r="C20" s="9" t="n">
        <f aca="false">C24*C13</f>
        <v>60216</v>
      </c>
    </row>
    <row r="21" customFormat="false" ht="15" hidden="false" customHeight="true" outlineLevel="0" collapsed="false">
      <c r="A21" s="11" t="s">
        <v>19</v>
      </c>
      <c r="C21" s="13" t="n">
        <f aca="false">SUM(C17:C20)</f>
        <v>9450216</v>
      </c>
    </row>
    <row r="23" customFormat="false" ht="15" hidden="false" customHeight="true" outlineLevel="0" collapsed="false">
      <c r="A23" s="11" t="s">
        <v>20</v>
      </c>
    </row>
    <row r="24" customFormat="false" ht="15" hidden="false" customHeight="true" outlineLevel="0" collapsed="false">
      <c r="A24" s="5" t="s">
        <v>21</v>
      </c>
      <c r="C24" s="9" t="n">
        <f aca="false">C12*(C8+C19)</f>
        <v>6021600</v>
      </c>
    </row>
    <row r="25" customFormat="false" ht="15" hidden="false" customHeight="true" outlineLevel="0" collapsed="false">
      <c r="A25" s="11" t="s">
        <v>22</v>
      </c>
      <c r="C25" s="13" t="n">
        <f aca="false">C21-C24</f>
        <v>3428616</v>
      </c>
    </row>
    <row r="26" customFormat="false" ht="15" hidden="false" customHeight="true" outlineLevel="0" collapsed="false">
      <c r="A26" s="5" t="s">
        <v>23</v>
      </c>
      <c r="C26" s="9" t="n">
        <f aca="false">C24+C25-C21</f>
        <v>0</v>
      </c>
    </row>
    <row r="28" customFormat="false" ht="15" hidden="false" customHeight="true" outlineLevel="0" collapsed="false">
      <c r="A28" s="3" t="s">
        <v>24</v>
      </c>
      <c r="B28" s="4"/>
      <c r="C28" s="4"/>
      <c r="D28" s="4"/>
      <c r="E28" s="4"/>
      <c r="F28" s="4"/>
      <c r="G28" s="4"/>
      <c r="H28" s="4"/>
    </row>
    <row r="29" customFormat="false" ht="15" hidden="false" customHeight="true" outlineLevel="0" collapsed="false">
      <c r="A29" s="5" t="s">
        <v>25</v>
      </c>
      <c r="C29" s="10" t="n">
        <v>0.9</v>
      </c>
    </row>
    <row r="30" customFormat="false" ht="15" hidden="false" customHeight="true" outlineLevel="0" collapsed="false">
      <c r="A30" s="5" t="s">
        <v>26</v>
      </c>
      <c r="C30" s="10" t="n">
        <v>0.1</v>
      </c>
    </row>
    <row r="31" customFormat="false" ht="15" hidden="false" customHeight="true" outlineLevel="0" collapsed="false">
      <c r="A31" s="5" t="s">
        <v>27</v>
      </c>
      <c r="C31" s="9" t="n">
        <f aca="false">C25*C29</f>
        <v>3085754.4</v>
      </c>
    </row>
    <row r="32" customFormat="false" ht="15" hidden="false" customHeight="true" outlineLevel="0" collapsed="false">
      <c r="A32" s="5" t="s">
        <v>28</v>
      </c>
      <c r="C32" s="9" t="n">
        <f aca="false">C25*C30</f>
        <v>342861.6</v>
      </c>
    </row>
    <row r="34" customFormat="false" ht="15" hidden="false" customHeight="true" outlineLevel="0" collapsed="false">
      <c r="A34" s="3" t="s">
        <v>29</v>
      </c>
      <c r="B34" s="4"/>
      <c r="C34" s="4"/>
      <c r="D34" s="4"/>
      <c r="E34" s="4"/>
      <c r="F34" s="4"/>
      <c r="G34" s="4"/>
      <c r="H34" s="4"/>
    </row>
    <row r="35" customFormat="false" ht="15" hidden="false" customHeight="true" outlineLevel="0" collapsed="false">
      <c r="A35" s="5" t="s">
        <v>30</v>
      </c>
      <c r="C35" s="14" t="n">
        <f aca="false">Operations!C42/C8</f>
        <v>0.0708105142857143</v>
      </c>
    </row>
    <row r="36" customFormat="false" ht="15" hidden="false" customHeight="true" outlineLevel="0" collapsed="false">
      <c r="A36" s="5" t="s">
        <v>31</v>
      </c>
      <c r="C36" s="12" t="n">
        <f aca="false">Operations!E42</f>
        <v>721999.41888</v>
      </c>
    </row>
    <row r="37" customFormat="false" ht="15" hidden="false" customHeight="true" outlineLevel="0" collapsed="false">
      <c r="A37" s="5" t="s">
        <v>32</v>
      </c>
      <c r="C37" s="15" t="n">
        <f aca="false">C36/C21</f>
        <v>0.0764003086151681</v>
      </c>
    </row>
    <row r="38" customFormat="false" ht="15" hidden="false" customHeight="true" outlineLevel="0" collapsed="false">
      <c r="A38" s="5" t="s">
        <v>33</v>
      </c>
      <c r="C38" s="14" t="n">
        <f aca="false">CashFlow!B4</f>
        <v>0.065</v>
      </c>
    </row>
    <row r="39" customFormat="false" ht="15" hidden="false" customHeight="true" outlineLevel="0" collapsed="false">
      <c r="A39" s="5" t="s">
        <v>34</v>
      </c>
      <c r="C39" s="16" t="n">
        <f aca="false">CashFlow!B27</f>
        <v>0.113481049724119</v>
      </c>
    </row>
    <row r="40" customFormat="false" ht="15" hidden="false" customHeight="true" outlineLevel="0" collapsed="false">
      <c r="A40" s="5" t="s">
        <v>35</v>
      </c>
      <c r="C40" s="16" t="n">
        <f aca="false">CashFlow!B28</f>
        <v>0.186082104178291</v>
      </c>
    </row>
    <row r="41" customFormat="false" ht="15" hidden="false" customHeight="true" outlineLevel="0" collapsed="false">
      <c r="A41" s="5" t="s">
        <v>36</v>
      </c>
      <c r="C41" s="17" t="n">
        <f aca="false">CashFlow!B29</f>
        <v>2.17422396060143</v>
      </c>
    </row>
    <row r="42" customFormat="false" ht="15" hidden="false" customHeight="true" outlineLevel="0" collapsed="false">
      <c r="A42" s="5" t="s">
        <v>37</v>
      </c>
      <c r="C42" s="16" t="n">
        <f aca="false">Waterfall!B29</f>
        <v>0.16587639622645</v>
      </c>
    </row>
    <row r="43" customFormat="false" ht="15" hidden="false" customHeight="true" outlineLevel="0" collapsed="false">
      <c r="A43" s="5" t="s">
        <v>38</v>
      </c>
      <c r="C43" s="17" t="n">
        <f aca="false">Waterfall!B30</f>
        <v>2.00254358913849</v>
      </c>
    </row>
    <row r="44" customFormat="false" ht="15" hidden="false" customHeight="true" outlineLevel="0" collapsed="false">
      <c r="A44" s="5" t="s">
        <v>39</v>
      </c>
      <c r="C44" s="16" t="n">
        <f aca="false">Waterfall!B31</f>
        <v>0.323403246211806</v>
      </c>
    </row>
    <row r="45" customFormat="false" ht="15" hidden="false" customHeight="true" outlineLevel="0" collapsed="false">
      <c r="A45" s="5" t="s">
        <v>40</v>
      </c>
      <c r="C45" s="17" t="n">
        <f aca="false">Waterfall!B32</f>
        <v>3.71934730376783</v>
      </c>
    </row>
    <row r="46" customFormat="false" ht="15" hidden="false" customHeight="true" outlineLevel="0" collapsed="false">
      <c r="A46" s="5" t="s">
        <v>41</v>
      </c>
      <c r="C46" s="12" t="n">
        <f aca="false">Waterfall!B35</f>
        <v>529763.461635383</v>
      </c>
    </row>
    <row r="48" customFormat="false" ht="15" hidden="false" customHeight="true" outlineLevel="0" collapsed="false">
      <c r="A48" s="18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15" hidden="false" customHeight="true" outlineLevel="0" collapsed="false">
      <c r="A1" s="2" t="s">
        <v>43</v>
      </c>
    </row>
    <row r="3" customFormat="false" ht="15" hidden="false" customHeight="true" outlineLevel="0" collapsed="false">
      <c r="A3" s="3" t="s">
        <v>44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45</v>
      </c>
      <c r="B4" s="8" t="n">
        <v>1650</v>
      </c>
    </row>
    <row r="5" customFormat="false" ht="15" hidden="false" customHeight="true" outlineLevel="0" collapsed="false">
      <c r="A5" s="5" t="s">
        <v>46</v>
      </c>
      <c r="B5" s="8" t="n">
        <v>1950</v>
      </c>
    </row>
    <row r="6" customFormat="false" ht="15" hidden="false" customHeight="true" outlineLevel="0" collapsed="false">
      <c r="A6" s="5" t="s">
        <v>47</v>
      </c>
      <c r="B6" s="19" t="n">
        <f aca="false">Summary!C6</f>
        <v>48</v>
      </c>
    </row>
    <row r="7" customFormat="false" ht="15" hidden="false" customHeight="true" outlineLevel="0" collapsed="false">
      <c r="A7" s="5" t="s">
        <v>48</v>
      </c>
      <c r="B7" s="10" t="n">
        <v>0.6</v>
      </c>
    </row>
    <row r="8" customFormat="false" ht="15" hidden="false" customHeight="true" outlineLevel="0" collapsed="false">
      <c r="A8" s="5" t="s">
        <v>49</v>
      </c>
      <c r="B8" s="10" t="n">
        <v>1</v>
      </c>
    </row>
    <row r="9" customFormat="false" ht="15" hidden="false" customHeight="true" outlineLevel="0" collapsed="false">
      <c r="A9" s="5" t="s">
        <v>50</v>
      </c>
      <c r="B9" s="10" t="n">
        <v>0.03</v>
      </c>
    </row>
    <row r="10" customFormat="false" ht="15" hidden="false" customHeight="true" outlineLevel="0" collapsed="false">
      <c r="A10" s="5" t="s">
        <v>51</v>
      </c>
      <c r="B10" s="8" t="n">
        <v>45</v>
      </c>
    </row>
    <row r="11" customFormat="false" ht="15" hidden="false" customHeight="true" outlineLevel="0" collapsed="false">
      <c r="A11" s="5" t="s">
        <v>52</v>
      </c>
      <c r="B11" s="10" t="n">
        <v>0.1</v>
      </c>
    </row>
    <row r="12" customFormat="false" ht="15" hidden="false" customHeight="true" outlineLevel="0" collapsed="false">
      <c r="A12" s="5" t="s">
        <v>53</v>
      </c>
      <c r="B12" s="10" t="n">
        <v>0.06</v>
      </c>
    </row>
    <row r="13" customFormat="false" ht="15" hidden="false" customHeight="true" outlineLevel="0" collapsed="false">
      <c r="A13" s="5" t="s">
        <v>54</v>
      </c>
      <c r="B13" s="10" t="n">
        <v>0.05</v>
      </c>
    </row>
    <row r="14" customFormat="false" ht="15" hidden="false" customHeight="true" outlineLevel="0" collapsed="false">
      <c r="A14" s="5" t="s">
        <v>55</v>
      </c>
      <c r="B14" s="10" t="n">
        <v>0.04</v>
      </c>
    </row>
    <row r="15" customFormat="false" ht="15" hidden="false" customHeight="true" outlineLevel="0" collapsed="false">
      <c r="A15" s="5" t="s">
        <v>56</v>
      </c>
      <c r="B15" s="10" t="n">
        <v>0.012</v>
      </c>
    </row>
    <row r="16" customFormat="false" ht="15" hidden="false" customHeight="true" outlineLevel="0" collapsed="false">
      <c r="A16" s="5" t="s">
        <v>57</v>
      </c>
      <c r="B16" s="10" t="n">
        <v>0.02</v>
      </c>
    </row>
    <row r="17" customFormat="false" ht="15" hidden="false" customHeight="true" outlineLevel="0" collapsed="false">
      <c r="A17" s="5" t="s">
        <v>58</v>
      </c>
      <c r="B17" s="10" t="n">
        <v>0.03</v>
      </c>
    </row>
    <row r="18" customFormat="false" ht="15" hidden="false" customHeight="true" outlineLevel="0" collapsed="false">
      <c r="A18" s="5" t="s">
        <v>59</v>
      </c>
      <c r="B18" s="8" t="n">
        <v>350</v>
      </c>
    </row>
    <row r="19" customFormat="false" ht="15" hidden="false" customHeight="true" outlineLevel="0" collapsed="false">
      <c r="A19" s="5" t="s">
        <v>60</v>
      </c>
      <c r="B19" s="8" t="n">
        <v>900</v>
      </c>
    </row>
    <row r="20" customFormat="false" ht="15" hidden="false" customHeight="true" outlineLevel="0" collapsed="false">
      <c r="A20" s="5" t="s">
        <v>61</v>
      </c>
      <c r="B20" s="8" t="n">
        <v>1500</v>
      </c>
    </row>
    <row r="21" customFormat="false" ht="15" hidden="false" customHeight="true" outlineLevel="0" collapsed="false">
      <c r="A21" s="5" t="s">
        <v>62</v>
      </c>
      <c r="B21" s="8" t="n">
        <v>1400</v>
      </c>
    </row>
    <row r="22" customFormat="false" ht="15" hidden="false" customHeight="true" outlineLevel="0" collapsed="false">
      <c r="A22" s="5" t="s">
        <v>63</v>
      </c>
      <c r="B22" s="8" t="n">
        <v>350</v>
      </c>
    </row>
    <row r="23" customFormat="false" ht="15" hidden="false" customHeight="true" outlineLevel="0" collapsed="false">
      <c r="A23" s="5" t="s">
        <v>64</v>
      </c>
      <c r="B23" s="8" t="n">
        <v>850</v>
      </c>
    </row>
    <row r="25" customFormat="false" ht="15" hidden="false" customHeight="true" outlineLevel="0" collapsed="false">
      <c r="A25" s="3" t="s">
        <v>65</v>
      </c>
      <c r="B25" s="4"/>
      <c r="C25" s="4"/>
      <c r="D25" s="4"/>
      <c r="E25" s="4"/>
      <c r="F25" s="4"/>
      <c r="G25" s="4"/>
      <c r="H25" s="4"/>
    </row>
    <row r="26" customFormat="false" ht="15" hidden="false" customHeight="true" outlineLevel="0" collapsed="false">
      <c r="C26" s="20" t="s">
        <v>66</v>
      </c>
      <c r="D26" s="20" t="s">
        <v>67</v>
      </c>
      <c r="E26" s="20" t="s">
        <v>68</v>
      </c>
      <c r="F26" s="20" t="s">
        <v>69</v>
      </c>
      <c r="G26" s="20" t="s">
        <v>70</v>
      </c>
    </row>
    <row r="27" customFormat="false" ht="15" hidden="false" customHeight="true" outlineLevel="0" collapsed="false">
      <c r="A27" s="5" t="s">
        <v>71</v>
      </c>
      <c r="C27" s="9" t="n">
        <f aca="false">$B$4*(1-$B$7)+$B$5*$B$7</f>
        <v>1830</v>
      </c>
      <c r="D27" s="9" t="n">
        <f aca="false">$B$5</f>
        <v>1950</v>
      </c>
      <c r="E27" s="9" t="n">
        <f aca="false">D27*(1+$B$9)</f>
        <v>2008.5</v>
      </c>
      <c r="F27" s="9" t="n">
        <f aca="false">E27*(1+$B$9)</f>
        <v>2068.755</v>
      </c>
      <c r="G27" s="9" t="n">
        <f aca="false">F27*(1+$B$9)</f>
        <v>2130.81765</v>
      </c>
    </row>
    <row r="28" customFormat="false" ht="15" hidden="false" customHeight="true" outlineLevel="0" collapsed="false">
      <c r="A28" s="5" t="s">
        <v>72</v>
      </c>
      <c r="C28" s="21" t="n">
        <f aca="false">$B$11</f>
        <v>0.1</v>
      </c>
      <c r="D28" s="21" t="n">
        <f aca="false">$B$12</f>
        <v>0.06</v>
      </c>
      <c r="E28" s="21" t="n">
        <f aca="false">$B$13</f>
        <v>0.05</v>
      </c>
      <c r="F28" s="21" t="n">
        <f aca="false">$B$13</f>
        <v>0.05</v>
      </c>
      <c r="G28" s="21" t="n">
        <f aca="false">$B$13</f>
        <v>0.05</v>
      </c>
    </row>
    <row r="29" customFormat="false" ht="15" hidden="false" customHeight="true" outlineLevel="0" collapsed="false">
      <c r="A29" s="5" t="s">
        <v>73</v>
      </c>
      <c r="C29" s="22" t="n">
        <f aca="false">$B$6*C27*12</f>
        <v>1054080</v>
      </c>
      <c r="D29" s="22" t="n">
        <f aca="false">$B$6*D27*12</f>
        <v>1123200</v>
      </c>
      <c r="E29" s="22" t="n">
        <f aca="false">$B$6*E27*12</f>
        <v>1156896</v>
      </c>
      <c r="F29" s="22" t="n">
        <f aca="false">$B$6*F27*12</f>
        <v>1191602.88</v>
      </c>
      <c r="G29" s="22" t="n">
        <f aca="false">$B$6*G27*12</f>
        <v>1227350.9664</v>
      </c>
    </row>
    <row r="30" customFormat="false" ht="15" hidden="false" customHeight="true" outlineLevel="0" collapsed="false">
      <c r="A30" s="5" t="s">
        <v>74</v>
      </c>
      <c r="C30" s="22" t="n">
        <f aca="false">-C29*C28</f>
        <v>-105408</v>
      </c>
      <c r="D30" s="22" t="n">
        <f aca="false">-D29*D28</f>
        <v>-67392</v>
      </c>
      <c r="E30" s="22" t="n">
        <f aca="false">-E29*E28</f>
        <v>-57844.8</v>
      </c>
      <c r="F30" s="22" t="n">
        <f aca="false">-F29*F28</f>
        <v>-59580.144</v>
      </c>
      <c r="G30" s="22" t="n">
        <f aca="false">-G29*G28</f>
        <v>-61367.54832</v>
      </c>
    </row>
    <row r="31" customFormat="false" ht="15" hidden="false" customHeight="true" outlineLevel="0" collapsed="false">
      <c r="A31" s="5" t="s">
        <v>75</v>
      </c>
      <c r="C31" s="22" t="n">
        <f aca="false">$B$10*$B$6*12</f>
        <v>25920</v>
      </c>
      <c r="D31" s="22" t="n">
        <f aca="false">C31*(1+$B$9)</f>
        <v>26697.6</v>
      </c>
      <c r="E31" s="22" t="n">
        <f aca="false">D31*(1+$B$9)</f>
        <v>27498.528</v>
      </c>
      <c r="F31" s="22" t="n">
        <f aca="false">E31*(1+$B$9)</f>
        <v>28323.48384</v>
      </c>
      <c r="G31" s="22" t="n">
        <f aca="false">F31*(1+$B$9)</f>
        <v>29173.1883552</v>
      </c>
    </row>
    <row r="32" customFormat="false" ht="15" hidden="false" customHeight="true" outlineLevel="0" collapsed="false">
      <c r="A32" s="11" t="s">
        <v>76</v>
      </c>
      <c r="C32" s="23" t="n">
        <f aca="false">C29+C30+C31</f>
        <v>974592</v>
      </c>
      <c r="D32" s="23" t="n">
        <f aca="false">D29+D30+D31</f>
        <v>1082505.6</v>
      </c>
      <c r="E32" s="23" t="n">
        <f aca="false">E29+E30+E31</f>
        <v>1126549.728</v>
      </c>
      <c r="F32" s="23" t="n">
        <f aca="false">F29+F30+F31</f>
        <v>1160346.21984</v>
      </c>
      <c r="G32" s="23" t="n">
        <f aca="false">G29+G30+G31</f>
        <v>1195156.6064352</v>
      </c>
    </row>
    <row r="33" customFormat="false" ht="15" hidden="false" customHeight="true" outlineLevel="0" collapsed="false">
      <c r="A33" s="5" t="s">
        <v>77</v>
      </c>
    </row>
    <row r="34" customFormat="false" ht="15" hidden="false" customHeight="true" outlineLevel="0" collapsed="false">
      <c r="A34" s="5" t="s">
        <v>78</v>
      </c>
      <c r="C34" s="22" t="n">
        <f aca="false">$B$15*Summary!$C$8</f>
        <v>100800</v>
      </c>
      <c r="D34" s="22" t="n">
        <f aca="false">C34*(1+$B$16)</f>
        <v>102816</v>
      </c>
      <c r="E34" s="22" t="n">
        <f aca="false">D34*(1+$B$16)</f>
        <v>104872.32</v>
      </c>
      <c r="F34" s="22" t="n">
        <f aca="false">E34*(1+$B$16)</f>
        <v>106969.7664</v>
      </c>
      <c r="G34" s="22" t="n">
        <f aca="false">F34*(1+$B$16)</f>
        <v>109109.161728</v>
      </c>
    </row>
    <row r="35" customFormat="false" ht="15" hidden="false" customHeight="true" outlineLevel="0" collapsed="false">
      <c r="A35" s="5" t="s">
        <v>79</v>
      </c>
      <c r="C35" s="22" t="n">
        <f aca="false">$B$19*$B$6</f>
        <v>43200</v>
      </c>
      <c r="D35" s="22" t="n">
        <f aca="false">C35*(1+$B$17)</f>
        <v>44496</v>
      </c>
      <c r="E35" s="22" t="n">
        <f aca="false">D35*(1+$B$17)</f>
        <v>45830.88</v>
      </c>
      <c r="F35" s="22" t="n">
        <f aca="false">E35*(1+$B$17)</f>
        <v>47205.8064</v>
      </c>
      <c r="G35" s="22" t="n">
        <f aca="false">F35*(1+$B$17)</f>
        <v>48621.980592</v>
      </c>
    </row>
    <row r="36" customFormat="false" ht="15" hidden="false" customHeight="true" outlineLevel="0" collapsed="false">
      <c r="A36" s="5" t="s">
        <v>80</v>
      </c>
      <c r="C36" s="22" t="n">
        <f aca="false">$B$20*$B$6</f>
        <v>72000</v>
      </c>
      <c r="D36" s="22" t="n">
        <f aca="false">C36*(1+$B$17)</f>
        <v>74160</v>
      </c>
      <c r="E36" s="22" t="n">
        <f aca="false">D36*(1+$B$17)</f>
        <v>76384.8</v>
      </c>
      <c r="F36" s="22" t="n">
        <f aca="false">E36*(1+$B$17)</f>
        <v>78676.344</v>
      </c>
      <c r="G36" s="22" t="n">
        <f aca="false">F36*(1+$B$17)</f>
        <v>81036.63432</v>
      </c>
    </row>
    <row r="37" customFormat="false" ht="15" hidden="false" customHeight="true" outlineLevel="0" collapsed="false">
      <c r="A37" s="5" t="s">
        <v>81</v>
      </c>
      <c r="C37" s="22" t="n">
        <f aca="false">$B$21*$B$6</f>
        <v>67200</v>
      </c>
      <c r="D37" s="22" t="n">
        <f aca="false">C37*(1+$B$17)</f>
        <v>69216</v>
      </c>
      <c r="E37" s="22" t="n">
        <f aca="false">D37*(1+$B$17)</f>
        <v>71292.48</v>
      </c>
      <c r="F37" s="22" t="n">
        <f aca="false">E37*(1+$B$17)</f>
        <v>73431.2544</v>
      </c>
      <c r="G37" s="22" t="n">
        <f aca="false">F37*(1+$B$17)</f>
        <v>75634.192032</v>
      </c>
    </row>
    <row r="38" customFormat="false" ht="15" hidden="false" customHeight="true" outlineLevel="0" collapsed="false">
      <c r="A38" s="5" t="s">
        <v>82</v>
      </c>
      <c r="C38" s="22" t="n">
        <f aca="false">$B$22*$B$6</f>
        <v>16800</v>
      </c>
      <c r="D38" s="22" t="n">
        <f aca="false">C38*(1+$B$17)</f>
        <v>17304</v>
      </c>
      <c r="E38" s="22" t="n">
        <f aca="false">D38*(1+$B$17)</f>
        <v>17823.12</v>
      </c>
      <c r="F38" s="22" t="n">
        <f aca="false">E38*(1+$B$17)</f>
        <v>18357.8136</v>
      </c>
      <c r="G38" s="22" t="n">
        <f aca="false">F38*(1+$B$17)</f>
        <v>18908.548008</v>
      </c>
    </row>
    <row r="39" customFormat="false" ht="15" hidden="false" customHeight="true" outlineLevel="0" collapsed="false">
      <c r="A39" s="5" t="s">
        <v>83</v>
      </c>
      <c r="C39" s="22" t="n">
        <f aca="false">$B$23*$B$6</f>
        <v>40800</v>
      </c>
      <c r="D39" s="22" t="n">
        <f aca="false">C39*(1+$B$17)</f>
        <v>42024</v>
      </c>
      <c r="E39" s="22" t="n">
        <f aca="false">D39*(1+$B$17)</f>
        <v>43284.72</v>
      </c>
      <c r="F39" s="22" t="n">
        <f aca="false">E39*(1+$B$17)</f>
        <v>44583.2616</v>
      </c>
      <c r="G39" s="22" t="n">
        <f aca="false">F39*(1+$B$17)</f>
        <v>45920.759448</v>
      </c>
    </row>
    <row r="40" customFormat="false" ht="15" hidden="false" customHeight="true" outlineLevel="0" collapsed="false">
      <c r="A40" s="5" t="s">
        <v>84</v>
      </c>
      <c r="C40" s="22" t="n">
        <f aca="false">$B$14*C32</f>
        <v>38983.68</v>
      </c>
      <c r="D40" s="22" t="n">
        <f aca="false">$B$14*D32</f>
        <v>43300.224</v>
      </c>
      <c r="E40" s="22" t="n">
        <f aca="false">$B$14*E32</f>
        <v>45061.98912</v>
      </c>
      <c r="F40" s="22" t="n">
        <f aca="false">$B$14*F32</f>
        <v>46413.8487936</v>
      </c>
      <c r="G40" s="22" t="n">
        <f aca="false">$B$14*G32</f>
        <v>47806.264257408</v>
      </c>
    </row>
    <row r="41" customFormat="false" ht="15" hidden="false" customHeight="true" outlineLevel="0" collapsed="false">
      <c r="A41" s="11" t="s">
        <v>85</v>
      </c>
      <c r="C41" s="23" t="n">
        <f aca="false">SUM(C34:C39)+C40</f>
        <v>379783.68</v>
      </c>
      <c r="D41" s="23" t="n">
        <f aca="false">SUM(D34:D39)+D40</f>
        <v>393316.224</v>
      </c>
      <c r="E41" s="23" t="n">
        <f aca="false">SUM(E34:E39)+E40</f>
        <v>404550.30912</v>
      </c>
      <c r="F41" s="23" t="n">
        <f aca="false">SUM(F34:F39)+F40</f>
        <v>415638.0951936</v>
      </c>
      <c r="G41" s="23" t="n">
        <f aca="false">SUM(G34:G39)+G40</f>
        <v>427037.540385408</v>
      </c>
    </row>
    <row r="42" customFormat="false" ht="15" hidden="false" customHeight="true" outlineLevel="0" collapsed="false">
      <c r="A42" s="11" t="s">
        <v>86</v>
      </c>
      <c r="C42" s="23" t="n">
        <f aca="false">C32-C41</f>
        <v>594808.32</v>
      </c>
      <c r="D42" s="23" t="n">
        <f aca="false">D32-D41</f>
        <v>689189.376</v>
      </c>
      <c r="E42" s="23" t="n">
        <f aca="false">E32-E41</f>
        <v>721999.41888</v>
      </c>
      <c r="F42" s="23" t="n">
        <f aca="false">F32-F41</f>
        <v>744708.1246464</v>
      </c>
      <c r="G42" s="23" t="n">
        <f aca="false">G32-G41</f>
        <v>768119.066049792</v>
      </c>
    </row>
    <row r="43" customFormat="false" ht="15" hidden="false" customHeight="true" outlineLevel="0" collapsed="false">
      <c r="A43" s="5" t="s">
        <v>87</v>
      </c>
      <c r="C43" s="22" t="n">
        <f aca="false">$B$18*$B$6</f>
        <v>16800</v>
      </c>
      <c r="D43" s="22" t="n">
        <f aca="false">C43*(1+$B$17)</f>
        <v>17304</v>
      </c>
      <c r="E43" s="22" t="n">
        <f aca="false">D43*(1+$B$17)</f>
        <v>17823.12</v>
      </c>
      <c r="F43" s="22" t="n">
        <f aca="false">E43*(1+$B$17)</f>
        <v>18357.8136</v>
      </c>
      <c r="G43" s="22" t="n">
        <f aca="false">F43*(1+$B$17)</f>
        <v>18908.548008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15" hidden="false" customHeight="true" outlineLevel="0" collapsed="false">
      <c r="A1" s="2" t="s">
        <v>88</v>
      </c>
    </row>
    <row r="3" customFormat="false" ht="15" hidden="false" customHeight="true" outlineLevel="0" collapsed="false">
      <c r="A3" s="3" t="s">
        <v>89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90</v>
      </c>
      <c r="B4" s="12" t="n">
        <f aca="false">Summary!C24</f>
        <v>6021600</v>
      </c>
    </row>
    <row r="5" customFormat="false" ht="15" hidden="false" customHeight="true" outlineLevel="0" collapsed="false">
      <c r="A5" s="5" t="s">
        <v>91</v>
      </c>
      <c r="B5" s="24" t="n">
        <v>0.0625</v>
      </c>
    </row>
    <row r="6" customFormat="false" ht="15" hidden="false" customHeight="true" outlineLevel="0" collapsed="false">
      <c r="A6" s="5" t="s">
        <v>92</v>
      </c>
      <c r="B6" s="6" t="s">
        <v>93</v>
      </c>
    </row>
    <row r="7" customFormat="false" ht="15" hidden="false" customHeight="true" outlineLevel="0" collapsed="false">
      <c r="A7" s="5" t="s">
        <v>94</v>
      </c>
      <c r="B7" s="7" t="n">
        <v>5</v>
      </c>
    </row>
    <row r="9" customFormat="false" ht="15" hidden="false" customHeight="true" outlineLevel="0" collapsed="false">
      <c r="A9" s="3" t="s">
        <v>95</v>
      </c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C10" s="20" t="s">
        <v>66</v>
      </c>
      <c r="D10" s="20" t="s">
        <v>67</v>
      </c>
      <c r="E10" s="20" t="s">
        <v>68</v>
      </c>
      <c r="F10" s="20" t="s">
        <v>69</v>
      </c>
      <c r="G10" s="20" t="s">
        <v>70</v>
      </c>
    </row>
    <row r="11" customFormat="false" ht="15" hidden="false" customHeight="true" outlineLevel="0" collapsed="false">
      <c r="A11" s="5" t="s">
        <v>96</v>
      </c>
      <c r="C11" s="22" t="n">
        <f aca="false">$B$4</f>
        <v>6021600</v>
      </c>
      <c r="D11" s="22" t="n">
        <f aca="false">$B$4</f>
        <v>6021600</v>
      </c>
      <c r="E11" s="22" t="n">
        <f aca="false">$B$4</f>
        <v>6021600</v>
      </c>
      <c r="F11" s="22" t="n">
        <f aca="false">$B$4</f>
        <v>6021600</v>
      </c>
      <c r="G11" s="22" t="n">
        <f aca="false">$B$4</f>
        <v>6021600</v>
      </c>
    </row>
    <row r="12" customFormat="false" ht="15" hidden="false" customHeight="true" outlineLevel="0" collapsed="false">
      <c r="A12" s="5" t="s">
        <v>97</v>
      </c>
      <c r="C12" s="22" t="n">
        <f aca="false">$B$4*$B$5</f>
        <v>376350</v>
      </c>
      <c r="D12" s="22" t="n">
        <f aca="false">$B$4*$B$5</f>
        <v>376350</v>
      </c>
      <c r="E12" s="22" t="n">
        <f aca="false">$B$4*$B$5</f>
        <v>376350</v>
      </c>
      <c r="F12" s="22" t="n">
        <f aca="false">$B$4*$B$5</f>
        <v>376350</v>
      </c>
      <c r="G12" s="22" t="n">
        <f aca="false">$B$4*$B$5</f>
        <v>376350</v>
      </c>
    </row>
    <row r="13" customFormat="false" ht="15" hidden="false" customHeight="true" outlineLevel="0" collapsed="false">
      <c r="A13" s="5" t="s">
        <v>98</v>
      </c>
      <c r="C13" s="22" t="n">
        <f aca="false">$B$4</f>
        <v>6021600</v>
      </c>
      <c r="D13" s="22" t="n">
        <f aca="false">$B$4</f>
        <v>6021600</v>
      </c>
      <c r="E13" s="22" t="n">
        <f aca="false">$B$4</f>
        <v>6021600</v>
      </c>
      <c r="F13" s="22" t="n">
        <f aca="false">$B$4</f>
        <v>6021600</v>
      </c>
      <c r="G13" s="22" t="n">
        <f aca="false">$B$4</f>
        <v>6021600</v>
      </c>
    </row>
    <row r="14" customFormat="false" ht="15" hidden="false" customHeight="true" outlineLevel="0" collapsed="false">
      <c r="A14" s="5" t="s">
        <v>99</v>
      </c>
      <c r="C14" s="25" t="n">
        <f aca="false">Operations!C42/C12</f>
        <v>1.58046584296533</v>
      </c>
      <c r="D14" s="25" t="n">
        <f aca="false">Operations!D42/D12</f>
        <v>1.83124585093663</v>
      </c>
      <c r="E14" s="25" t="n">
        <f aca="false">Operations!E42/E12</f>
        <v>1.91842545205261</v>
      </c>
      <c r="F14" s="25" t="n">
        <f aca="false">Operations!F42/F12</f>
        <v>1.97876477918533</v>
      </c>
      <c r="G14" s="25" t="n">
        <f aca="false">Operations!G42/G12</f>
        <v>2.04097001740346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15" hidden="false" customHeight="true" outlineLevel="0" collapsed="false">
      <c r="A1" s="2" t="s">
        <v>100</v>
      </c>
    </row>
    <row r="3" customFormat="false" ht="15" hidden="false" customHeight="true" outlineLevel="0" collapsed="false">
      <c r="A3" s="3" t="s">
        <v>101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33</v>
      </c>
      <c r="B4" s="24" t="n">
        <v>0.065</v>
      </c>
    </row>
    <row r="5" customFormat="false" ht="15" hidden="false" customHeight="true" outlineLevel="0" collapsed="false">
      <c r="A5" s="5" t="s">
        <v>102</v>
      </c>
      <c r="B5" s="10" t="n">
        <v>0.02</v>
      </c>
    </row>
    <row r="6" customFormat="false" ht="15" hidden="false" customHeight="true" outlineLevel="0" collapsed="false">
      <c r="A6" s="5" t="s">
        <v>103</v>
      </c>
      <c r="B6" s="19" t="n">
        <f aca="false">Debt!B7</f>
        <v>5</v>
      </c>
    </row>
    <row r="8" customFormat="false" ht="15" hidden="false" customHeight="true" outlineLevel="0" collapsed="false">
      <c r="A8" s="3" t="s">
        <v>104</v>
      </c>
      <c r="B8" s="4"/>
      <c r="C8" s="4"/>
      <c r="D8" s="4"/>
      <c r="E8" s="4"/>
      <c r="F8" s="4"/>
      <c r="G8" s="4"/>
      <c r="H8" s="4"/>
    </row>
    <row r="9" customFormat="false" ht="15" hidden="false" customHeight="true" outlineLevel="0" collapsed="false">
      <c r="B9" s="20" t="s">
        <v>105</v>
      </c>
      <c r="C9" s="20" t="s">
        <v>66</v>
      </c>
      <c r="D9" s="20" t="s">
        <v>67</v>
      </c>
      <c r="E9" s="20" t="s">
        <v>68</v>
      </c>
      <c r="F9" s="20" t="s">
        <v>69</v>
      </c>
      <c r="G9" s="20" t="s">
        <v>70</v>
      </c>
    </row>
    <row r="10" customFormat="false" ht="15" hidden="false" customHeight="true" outlineLevel="0" collapsed="false">
      <c r="A10" s="5" t="s">
        <v>86</v>
      </c>
      <c r="C10" s="26" t="n">
        <f aca="false">Operations!C42</f>
        <v>594808.32</v>
      </c>
      <c r="D10" s="26" t="n">
        <f aca="false">Operations!D42</f>
        <v>689189.376</v>
      </c>
      <c r="E10" s="26" t="n">
        <f aca="false">Operations!E42</f>
        <v>721999.41888</v>
      </c>
      <c r="F10" s="26" t="n">
        <f aca="false">Operations!F42</f>
        <v>744708.1246464</v>
      </c>
      <c r="G10" s="26" t="n">
        <f aca="false">Operations!G42</f>
        <v>768119.066049792</v>
      </c>
    </row>
    <row r="11" customFormat="false" ht="15" hidden="false" customHeight="true" outlineLevel="0" collapsed="false">
      <c r="A11" s="5" t="s">
        <v>106</v>
      </c>
      <c r="C11" s="26" t="n">
        <f aca="false">Operations!C43</f>
        <v>16800</v>
      </c>
      <c r="D11" s="26" t="n">
        <f aca="false">Operations!D43</f>
        <v>17304</v>
      </c>
      <c r="E11" s="26" t="n">
        <f aca="false">Operations!E43</f>
        <v>17823.12</v>
      </c>
      <c r="F11" s="26" t="n">
        <f aca="false">Operations!F43</f>
        <v>18357.8136</v>
      </c>
      <c r="G11" s="26" t="n">
        <f aca="false">Operations!G43</f>
        <v>18908.548008</v>
      </c>
    </row>
    <row r="12" customFormat="false" ht="15" hidden="false" customHeight="true" outlineLevel="0" collapsed="false">
      <c r="A12" s="11" t="s">
        <v>107</v>
      </c>
      <c r="C12" s="23" t="n">
        <f aca="false">C10-C11</f>
        <v>578008.32</v>
      </c>
      <c r="D12" s="23" t="n">
        <f aca="false">D10-D11</f>
        <v>671885.376</v>
      </c>
      <c r="E12" s="23" t="n">
        <f aca="false">E10-E11</f>
        <v>704176.29888</v>
      </c>
      <c r="F12" s="23" t="n">
        <f aca="false">F10-F11</f>
        <v>726350.3110464</v>
      </c>
      <c r="G12" s="23" t="n">
        <f aca="false">G10-G11</f>
        <v>749210.518041792</v>
      </c>
    </row>
    <row r="13" customFormat="false" ht="15" hidden="false" customHeight="true" outlineLevel="0" collapsed="false">
      <c r="A13" s="5" t="s">
        <v>108</v>
      </c>
      <c r="C13" s="26" t="n">
        <f aca="false">Debt!C12</f>
        <v>376350</v>
      </c>
      <c r="D13" s="26" t="n">
        <f aca="false">Debt!D12</f>
        <v>376350</v>
      </c>
      <c r="E13" s="26" t="n">
        <f aca="false">Debt!E12</f>
        <v>376350</v>
      </c>
      <c r="F13" s="26" t="n">
        <f aca="false">Debt!F12</f>
        <v>376350</v>
      </c>
      <c r="G13" s="26" t="n">
        <f aca="false">Debt!G12</f>
        <v>376350</v>
      </c>
    </row>
    <row r="14" customFormat="false" ht="15" hidden="false" customHeight="true" outlineLevel="0" collapsed="false">
      <c r="A14" s="11" t="s">
        <v>109</v>
      </c>
      <c r="C14" s="23" t="n">
        <f aca="false">C12-C13</f>
        <v>201658.32</v>
      </c>
      <c r="D14" s="23" t="n">
        <f aca="false">D12-D13</f>
        <v>295535.376</v>
      </c>
      <c r="E14" s="23" t="n">
        <f aca="false">E12-E13</f>
        <v>327826.29888</v>
      </c>
      <c r="F14" s="23" t="n">
        <f aca="false">F12-F13</f>
        <v>350000.3110464</v>
      </c>
      <c r="G14" s="23" t="n">
        <f aca="false">G12-G13</f>
        <v>372860.518041792</v>
      </c>
    </row>
    <row r="16" customFormat="false" ht="15" hidden="false" customHeight="true" outlineLevel="0" collapsed="false">
      <c r="A16" s="3" t="s">
        <v>110</v>
      </c>
      <c r="B16" s="4"/>
      <c r="C16" s="4"/>
      <c r="D16" s="4"/>
      <c r="E16" s="4"/>
      <c r="F16" s="4"/>
      <c r="G16" s="4"/>
      <c r="H16" s="4"/>
    </row>
    <row r="17" customFormat="false" ht="15" hidden="false" customHeight="true" outlineLevel="0" collapsed="false">
      <c r="A17" s="5" t="s">
        <v>111</v>
      </c>
      <c r="G17" s="22" t="n">
        <f aca="false">G10*(1+Operations!$B$9)</f>
        <v>791162.638031286</v>
      </c>
    </row>
    <row r="18" customFormat="false" ht="15" hidden="false" customHeight="true" outlineLevel="0" collapsed="false">
      <c r="A18" s="5" t="s">
        <v>112</v>
      </c>
      <c r="G18" s="22" t="n">
        <f aca="false">G17/$B$4</f>
        <v>12171732.892789</v>
      </c>
    </row>
    <row r="19" customFormat="false" ht="15" hidden="false" customHeight="true" outlineLevel="0" collapsed="false">
      <c r="A19" s="5" t="s">
        <v>113</v>
      </c>
      <c r="G19" s="22" t="n">
        <f aca="false">-G18*$B$5</f>
        <v>-243434.65785578</v>
      </c>
    </row>
    <row r="20" customFormat="false" ht="15" hidden="false" customHeight="true" outlineLevel="0" collapsed="false">
      <c r="A20" s="5" t="s">
        <v>114</v>
      </c>
      <c r="G20" s="26" t="n">
        <f aca="false">-Debt!G13</f>
        <v>-6021600</v>
      </c>
    </row>
    <row r="21" customFormat="false" ht="15" hidden="false" customHeight="true" outlineLevel="0" collapsed="false">
      <c r="A21" s="11" t="s">
        <v>115</v>
      </c>
      <c r="G21" s="23" t="n">
        <f aca="false">G18+G19+G20</f>
        <v>5906698.23493323</v>
      </c>
    </row>
    <row r="23" customFormat="false" ht="15" hidden="false" customHeight="true" outlineLevel="0" collapsed="false">
      <c r="A23" s="11" t="s">
        <v>116</v>
      </c>
      <c r="B23" s="23" t="n">
        <f aca="false">-Summary!$C$21</f>
        <v>-9450216</v>
      </c>
      <c r="C23" s="22" t="n">
        <f aca="false">C12</f>
        <v>578008.32</v>
      </c>
      <c r="D23" s="22" t="n">
        <f aca="false">D12</f>
        <v>671885.376</v>
      </c>
      <c r="E23" s="22" t="n">
        <f aca="false">E12</f>
        <v>704176.29888</v>
      </c>
      <c r="F23" s="22" t="n">
        <f aca="false">F12</f>
        <v>726350.3110464</v>
      </c>
      <c r="G23" s="22" t="n">
        <f aca="false">G12+G18+G19</f>
        <v>12677508.752975</v>
      </c>
    </row>
    <row r="24" customFormat="false" ht="15" hidden="false" customHeight="true" outlineLevel="0" collapsed="false">
      <c r="A24" s="11" t="s">
        <v>117</v>
      </c>
      <c r="B24" s="23" t="n">
        <f aca="false">-Summary!$C$25</f>
        <v>-3428616</v>
      </c>
      <c r="C24" s="22" t="n">
        <f aca="false">C14</f>
        <v>201658.32</v>
      </c>
      <c r="D24" s="22" t="n">
        <f aca="false">D14</f>
        <v>295535.376</v>
      </c>
      <c r="E24" s="22" t="n">
        <f aca="false">E14</f>
        <v>327826.29888</v>
      </c>
      <c r="F24" s="22" t="n">
        <f aca="false">F14</f>
        <v>350000.3110464</v>
      </c>
      <c r="G24" s="22" t="n">
        <f aca="false">G14+G21</f>
        <v>6279558.75297502</v>
      </c>
    </row>
    <row r="26" customFormat="false" ht="15" hidden="false" customHeight="true" outlineLevel="0" collapsed="false">
      <c r="A26" s="3" t="s">
        <v>118</v>
      </c>
      <c r="B26" s="4"/>
      <c r="C26" s="4"/>
      <c r="D26" s="4"/>
      <c r="E26" s="4"/>
      <c r="F26" s="4"/>
      <c r="G26" s="4"/>
      <c r="H26" s="4"/>
    </row>
    <row r="27" customFormat="false" ht="15" hidden="false" customHeight="true" outlineLevel="0" collapsed="false">
      <c r="A27" s="5" t="s">
        <v>119</v>
      </c>
      <c r="B27" s="21" t="n">
        <f aca="false">IRR(B23:G23)</f>
        <v>0.113481049724119</v>
      </c>
    </row>
    <row r="28" customFormat="false" ht="15" hidden="false" customHeight="true" outlineLevel="0" collapsed="false">
      <c r="A28" s="5" t="s">
        <v>120</v>
      </c>
      <c r="B28" s="21" t="n">
        <f aca="false">IRR(B24:G24)</f>
        <v>0.186082104178291</v>
      </c>
    </row>
    <row r="29" customFormat="false" ht="15" hidden="false" customHeight="true" outlineLevel="0" collapsed="false">
      <c r="A29" s="5" t="s">
        <v>121</v>
      </c>
      <c r="B29" s="25" t="n">
        <f aca="false">SUM(C24:G24)/-B24</f>
        <v>2.17422396060143</v>
      </c>
    </row>
    <row r="30" customFormat="false" ht="15" hidden="false" customHeight="true" outlineLevel="0" collapsed="false">
      <c r="A30" s="5" t="s">
        <v>122</v>
      </c>
      <c r="B30" s="21" t="n">
        <f aca="false">AVERAGE(C14:F14)/-B24</f>
        <v>0.0856774501669479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15" hidden="false" customHeight="true" outlineLevel="0" collapsed="false">
      <c r="A1" s="2" t="s">
        <v>123</v>
      </c>
    </row>
    <row r="3" customFormat="false" ht="15" hidden="false" customHeight="true" outlineLevel="0" collapsed="false">
      <c r="A3" s="3" t="s">
        <v>124</v>
      </c>
      <c r="B3" s="4"/>
      <c r="C3" s="4"/>
      <c r="D3" s="4"/>
      <c r="E3" s="4"/>
      <c r="F3" s="4"/>
      <c r="G3" s="4"/>
      <c r="H3" s="4"/>
    </row>
    <row r="4" customFormat="false" ht="15" hidden="false" customHeight="true" outlineLevel="0" collapsed="false">
      <c r="A4" s="5" t="s">
        <v>125</v>
      </c>
      <c r="B4" s="10" t="n">
        <v>0.08</v>
      </c>
    </row>
    <row r="5" customFormat="false" ht="15" hidden="false" customHeight="true" outlineLevel="0" collapsed="false">
      <c r="A5" s="5" t="s">
        <v>25</v>
      </c>
      <c r="B5" s="16" t="n">
        <f aca="false">Summary!C29</f>
        <v>0.9</v>
      </c>
    </row>
    <row r="6" customFormat="false" ht="15" hidden="false" customHeight="true" outlineLevel="0" collapsed="false">
      <c r="A6" s="5" t="s">
        <v>26</v>
      </c>
      <c r="B6" s="16" t="n">
        <f aca="false">Summary!C30</f>
        <v>0.1</v>
      </c>
    </row>
    <row r="7" customFormat="false" ht="15" hidden="false" customHeight="true" outlineLevel="0" collapsed="false">
      <c r="A7" s="5" t="s">
        <v>126</v>
      </c>
      <c r="B7" s="10" t="n">
        <v>0.7</v>
      </c>
    </row>
    <row r="8" customFormat="false" ht="15" hidden="false" customHeight="true" outlineLevel="0" collapsed="false">
      <c r="A8" s="5" t="s">
        <v>127</v>
      </c>
      <c r="B8" s="10" t="n">
        <v>0.3</v>
      </c>
    </row>
    <row r="9" customFormat="false" ht="15" hidden="false" customHeight="true" outlineLevel="0" collapsed="false">
      <c r="A9" s="5" t="s">
        <v>22</v>
      </c>
      <c r="B9" s="12" t="n">
        <f aca="false">Summary!C25</f>
        <v>3428616</v>
      </c>
    </row>
    <row r="11" customFormat="false" ht="15" hidden="false" customHeight="true" outlineLevel="0" collapsed="false">
      <c r="A11" s="3" t="s">
        <v>128</v>
      </c>
      <c r="B11" s="4"/>
      <c r="C11" s="4"/>
      <c r="D11" s="4"/>
      <c r="E11" s="4"/>
      <c r="F11" s="4"/>
      <c r="G11" s="4"/>
      <c r="H11" s="4"/>
    </row>
    <row r="12" customFormat="false" ht="15" hidden="false" customHeight="true" outlineLevel="0" collapsed="false">
      <c r="B12" s="20" t="s">
        <v>105</v>
      </c>
      <c r="C12" s="20" t="s">
        <v>66</v>
      </c>
      <c r="D12" s="20" t="s">
        <v>67</v>
      </c>
      <c r="E12" s="20" t="s">
        <v>68</v>
      </c>
      <c r="F12" s="20" t="s">
        <v>69</v>
      </c>
      <c r="G12" s="20" t="s">
        <v>70</v>
      </c>
    </row>
    <row r="13" customFormat="false" ht="15" hidden="false" customHeight="true" outlineLevel="0" collapsed="false">
      <c r="A13" s="5" t="s">
        <v>129</v>
      </c>
      <c r="B13" s="26" t="n">
        <f aca="false">CashFlow!B24</f>
        <v>-3428616</v>
      </c>
      <c r="C13" s="26" t="n">
        <f aca="false">CashFlow!C24</f>
        <v>201658.32</v>
      </c>
      <c r="D13" s="26" t="n">
        <f aca="false">CashFlow!D24</f>
        <v>295535.376</v>
      </c>
      <c r="E13" s="26" t="n">
        <f aca="false">CashFlow!E24</f>
        <v>327826.29888</v>
      </c>
      <c r="F13" s="26" t="n">
        <f aca="false">CashFlow!F24</f>
        <v>350000.3110464</v>
      </c>
      <c r="G13" s="26" t="n">
        <f aca="false">CashFlow!G24</f>
        <v>6279558.75297502</v>
      </c>
    </row>
    <row r="15" customFormat="false" ht="15" hidden="false" customHeight="true" outlineLevel="0" collapsed="false">
      <c r="A15" s="11" t="s">
        <v>130</v>
      </c>
    </row>
    <row r="16" customFormat="false" ht="15" hidden="false" customHeight="true" outlineLevel="0" collapsed="false">
      <c r="A16" s="5" t="s">
        <v>131</v>
      </c>
      <c r="C16" s="22" t="n">
        <f aca="false">$B$9</f>
        <v>3428616</v>
      </c>
      <c r="D16" s="22" t="n">
        <f aca="false">C19</f>
        <v>3501246.96</v>
      </c>
      <c r="E16" s="22" t="n">
        <f aca="false">D19</f>
        <v>3485811.3408</v>
      </c>
      <c r="F16" s="22" t="n">
        <f aca="false">E19</f>
        <v>3436849.949184</v>
      </c>
      <c r="G16" s="22" t="n">
        <f aca="false">F19</f>
        <v>3361797.63407232</v>
      </c>
    </row>
    <row r="17" customFormat="false" ht="15" hidden="false" customHeight="true" outlineLevel="0" collapsed="false">
      <c r="A17" s="5" t="s">
        <v>132</v>
      </c>
      <c r="C17" s="22" t="n">
        <f aca="false">C16*(1+$B$4)</f>
        <v>3702905.28</v>
      </c>
      <c r="D17" s="22" t="n">
        <f aca="false">D16*(1+$B$4)</f>
        <v>3781346.7168</v>
      </c>
      <c r="E17" s="22" t="n">
        <f aca="false">E16*(1+$B$4)</f>
        <v>3764676.248064</v>
      </c>
      <c r="F17" s="22" t="n">
        <f aca="false">F16*(1+$B$4)</f>
        <v>3711797.94511872</v>
      </c>
      <c r="G17" s="22" t="n">
        <f aca="false">G16*(1+$B$4)</f>
        <v>3630741.44479811</v>
      </c>
    </row>
    <row r="18" customFormat="false" ht="15" hidden="false" customHeight="true" outlineLevel="0" collapsed="false">
      <c r="A18" s="5" t="s">
        <v>133</v>
      </c>
      <c r="C18" s="22" t="n">
        <f aca="false">MIN(MAX(C13,0),C17)</f>
        <v>201658.32</v>
      </c>
      <c r="D18" s="22" t="n">
        <f aca="false">MIN(MAX(D13,0),D17)</f>
        <v>295535.376</v>
      </c>
      <c r="E18" s="22" t="n">
        <f aca="false">MIN(MAX(E13,0),E17)</f>
        <v>327826.29888</v>
      </c>
      <c r="F18" s="22" t="n">
        <f aca="false">MIN(MAX(F13,0),F17)</f>
        <v>350000.3110464</v>
      </c>
      <c r="G18" s="22" t="n">
        <f aca="false">MIN(MAX(G13,0),G17)</f>
        <v>3630741.44479811</v>
      </c>
    </row>
    <row r="19" customFormat="false" ht="15" hidden="false" customHeight="true" outlineLevel="0" collapsed="false">
      <c r="A19" s="5" t="s">
        <v>134</v>
      </c>
      <c r="C19" s="22" t="n">
        <f aca="false">C17-C18</f>
        <v>3501246.96</v>
      </c>
      <c r="D19" s="22" t="n">
        <f aca="false">D17-D18</f>
        <v>3485811.3408</v>
      </c>
      <c r="E19" s="22" t="n">
        <f aca="false">E17-E18</f>
        <v>3436849.949184</v>
      </c>
      <c r="F19" s="22" t="n">
        <f aca="false">F17-F18</f>
        <v>3361797.63407232</v>
      </c>
      <c r="G19" s="22" t="n">
        <f aca="false">G17-G18</f>
        <v>0</v>
      </c>
    </row>
    <row r="20" customFormat="false" ht="15" hidden="false" customHeight="true" outlineLevel="0" collapsed="false">
      <c r="A20" s="5" t="s">
        <v>135</v>
      </c>
      <c r="C20" s="22" t="n">
        <f aca="false">MAX(0,C13-C18)</f>
        <v>0</v>
      </c>
      <c r="D20" s="22" t="n">
        <f aca="false">MAX(0,D13-D18)</f>
        <v>0</v>
      </c>
      <c r="E20" s="22" t="n">
        <f aca="false">MAX(0,E13-E18)</f>
        <v>0</v>
      </c>
      <c r="F20" s="22" t="n">
        <f aca="false">MAX(0,F13-F18)</f>
        <v>0</v>
      </c>
      <c r="G20" s="22" t="n">
        <f aca="false">MAX(0,G13-G18)</f>
        <v>2648817.30817692</v>
      </c>
    </row>
    <row r="22" customFormat="false" ht="15" hidden="false" customHeight="true" outlineLevel="0" collapsed="false">
      <c r="A22" s="11" t="s">
        <v>136</v>
      </c>
      <c r="C22" s="23" t="n">
        <f aca="false">C18*$B$5+C20*$B$7</f>
        <v>181492.488</v>
      </c>
      <c r="D22" s="23" t="n">
        <f aca="false">D18*$B$5+D20*$B$7</f>
        <v>265981.8384</v>
      </c>
      <c r="E22" s="23" t="n">
        <f aca="false">E18*$B$5+E20*$B$7</f>
        <v>295043.668992</v>
      </c>
      <c r="F22" s="23" t="n">
        <f aca="false">F18*$B$5+F20*$B$7</f>
        <v>315000.27994176</v>
      </c>
      <c r="G22" s="23" t="n">
        <f aca="false">G18*$B$5+G20*$B$7</f>
        <v>5121839.41604214</v>
      </c>
    </row>
    <row r="23" customFormat="false" ht="15" hidden="false" customHeight="true" outlineLevel="0" collapsed="false">
      <c r="A23" s="11" t="s">
        <v>137</v>
      </c>
      <c r="C23" s="23" t="n">
        <f aca="false">C18*$B$6+C20*$B$8</f>
        <v>20165.832</v>
      </c>
      <c r="D23" s="23" t="n">
        <f aca="false">D18*$B$6+D20*$B$8</f>
        <v>29553.5376</v>
      </c>
      <c r="E23" s="23" t="n">
        <f aca="false">E18*$B$6+E20*$B$8</f>
        <v>32782.629888</v>
      </c>
      <c r="F23" s="23" t="n">
        <f aca="false">F18*$B$6+F20*$B$8</f>
        <v>35000.03110464</v>
      </c>
      <c r="G23" s="23" t="n">
        <f aca="false">G18*$B$6+G20*$B$8</f>
        <v>1157719.33693289</v>
      </c>
    </row>
    <row r="25" customFormat="false" ht="15" hidden="false" customHeight="true" outlineLevel="0" collapsed="false">
      <c r="A25" s="5" t="s">
        <v>138</v>
      </c>
      <c r="B25" s="22" t="n">
        <f aca="false">-Summary!$C$31</f>
        <v>-3085754.4</v>
      </c>
      <c r="C25" s="22" t="n">
        <f aca="false">C22</f>
        <v>181492.488</v>
      </c>
      <c r="D25" s="22" t="n">
        <f aca="false">D22</f>
        <v>265981.8384</v>
      </c>
      <c r="E25" s="22" t="n">
        <f aca="false">E22</f>
        <v>295043.668992</v>
      </c>
      <c r="F25" s="22" t="n">
        <f aca="false">F22</f>
        <v>315000.27994176</v>
      </c>
      <c r="G25" s="22" t="n">
        <f aca="false">G22</f>
        <v>5121839.41604214</v>
      </c>
    </row>
    <row r="26" customFormat="false" ht="15" hidden="false" customHeight="true" outlineLevel="0" collapsed="false">
      <c r="A26" s="5" t="s">
        <v>139</v>
      </c>
      <c r="B26" s="22" t="n">
        <f aca="false">-Summary!$C$32</f>
        <v>-342861.6</v>
      </c>
      <c r="C26" s="22" t="n">
        <f aca="false">C23</f>
        <v>20165.832</v>
      </c>
      <c r="D26" s="22" t="n">
        <f aca="false">D23</f>
        <v>29553.5376</v>
      </c>
      <c r="E26" s="22" t="n">
        <f aca="false">E23</f>
        <v>32782.629888</v>
      </c>
      <c r="F26" s="22" t="n">
        <f aca="false">F23</f>
        <v>35000.03110464</v>
      </c>
      <c r="G26" s="22" t="n">
        <f aca="false">G23</f>
        <v>1157719.33693289</v>
      </c>
    </row>
    <row r="28" customFormat="false" ht="15" hidden="false" customHeight="true" outlineLevel="0" collapsed="false">
      <c r="A28" s="3" t="s">
        <v>140</v>
      </c>
      <c r="B28" s="4"/>
      <c r="C28" s="4"/>
      <c r="D28" s="4"/>
      <c r="E28" s="4"/>
      <c r="F28" s="4"/>
      <c r="G28" s="4"/>
      <c r="H28" s="4"/>
    </row>
    <row r="29" customFormat="false" ht="15" hidden="false" customHeight="true" outlineLevel="0" collapsed="false">
      <c r="A29" s="5" t="s">
        <v>37</v>
      </c>
      <c r="B29" s="21" t="n">
        <f aca="false">IRR(B25:G25)</f>
        <v>0.16587639622645</v>
      </c>
    </row>
    <row r="30" customFormat="false" ht="15" hidden="false" customHeight="true" outlineLevel="0" collapsed="false">
      <c r="A30" s="5" t="s">
        <v>38</v>
      </c>
      <c r="B30" s="25" t="n">
        <f aca="false">SUM(C25:G25)/-B25</f>
        <v>2.00254358913849</v>
      </c>
    </row>
    <row r="31" customFormat="false" ht="15" hidden="false" customHeight="true" outlineLevel="0" collapsed="false">
      <c r="A31" s="5" t="s">
        <v>39</v>
      </c>
      <c r="B31" s="21" t="n">
        <f aca="false">IRR(B26:G26)</f>
        <v>0.323403246211806</v>
      </c>
    </row>
    <row r="32" customFormat="false" ht="15" hidden="false" customHeight="true" outlineLevel="0" collapsed="false">
      <c r="A32" s="5" t="s">
        <v>40</v>
      </c>
      <c r="B32" s="25" t="n">
        <f aca="false">SUM(C26:G26)/-B26</f>
        <v>3.71934730376783</v>
      </c>
    </row>
    <row r="33" customFormat="false" ht="15" hidden="false" customHeight="true" outlineLevel="0" collapsed="false">
      <c r="A33" s="5" t="s">
        <v>141</v>
      </c>
      <c r="B33" s="22" t="n">
        <f aca="false">SUM(C13:G13)</f>
        <v>7454579.05890142</v>
      </c>
    </row>
    <row r="34" customFormat="false" ht="15" hidden="false" customHeight="true" outlineLevel="0" collapsed="false">
      <c r="A34" s="5" t="s">
        <v>142</v>
      </c>
      <c r="B34" s="22" t="n">
        <f aca="false">B33*$B$6</f>
        <v>745457.905890142</v>
      </c>
    </row>
    <row r="35" customFormat="false" ht="15" hidden="false" customHeight="true" outlineLevel="0" collapsed="false">
      <c r="A35" s="5" t="s">
        <v>41</v>
      </c>
      <c r="B35" s="22" t="n">
        <f aca="false">SUM(C26:G26)-B34</f>
        <v>529763.461635383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2026-08-25T19:25:08Z</dcterms:created>
  <dc:creator>openpyxl</dc:creator>
  <dc:description/>
  <dc:language>en-US</dc:language>
  <cp:lastModifiedBy/>
  <dcterms:modified xsi:type="dcterms:W3CDTF">2026-08-25T19:27:33Z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